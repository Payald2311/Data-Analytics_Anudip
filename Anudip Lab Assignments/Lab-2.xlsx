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9152569-2101-4C2A-83AC-EFB10F400E53}" xr6:coauthVersionLast="47" xr6:coauthVersionMax="47" xr10:uidLastSave="{00000000-0000-0000-0000-000000000000}"/>
  <bookViews>
    <workbookView xWindow="-108" yWindow="-108" windowWidth="23256" windowHeight="12456" xr2:uid="{499320C4-6A9A-4086-ACF8-C2BA9139D256}"/>
  </bookViews>
  <sheets>
    <sheet name="products" sheetId="1" r:id="rId1"/>
    <sheet name="ord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K2" i="2"/>
  <c r="K3" i="2"/>
  <c r="K4" i="2"/>
  <c r="K5" i="2"/>
  <c r="K6" i="2"/>
  <c r="K7" i="2"/>
  <c r="E9" i="1"/>
  <c r="E4" i="1"/>
  <c r="E5" i="1"/>
  <c r="E6" i="1"/>
  <c r="E7" i="1"/>
  <c r="E8" i="1"/>
  <c r="E3" i="1"/>
  <c r="I3" i="2" l="1"/>
  <c r="I4" i="2"/>
  <c r="I5" i="2"/>
  <c r="I6" i="2"/>
  <c r="I7" i="2"/>
  <c r="I2" i="2"/>
  <c r="H2" i="2"/>
  <c r="F3" i="2"/>
  <c r="F4" i="2"/>
  <c r="F5" i="2"/>
  <c r="F6" i="2"/>
  <c r="F7" i="2"/>
  <c r="F2" i="2"/>
  <c r="G3" i="2"/>
  <c r="G4" i="2"/>
  <c r="G5" i="2"/>
  <c r="G6" i="2"/>
  <c r="G7" i="2"/>
  <c r="G2" i="2"/>
  <c r="E3" i="2"/>
  <c r="E4" i="2"/>
  <c r="E5" i="2"/>
  <c r="E6" i="2"/>
  <c r="E7" i="2"/>
  <c r="E2" i="2"/>
  <c r="J2" i="2" l="1"/>
</calcChain>
</file>

<file path=xl/sharedStrings.xml><?xml version="1.0" encoding="utf-8"?>
<sst xmlns="http://schemas.openxmlformats.org/spreadsheetml/2006/main" count="28" uniqueCount="27">
  <si>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</si>
  <si>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</si>
  <si>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</si>
  <si>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</si>
  <si>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</si>
  <si>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</si>
  <si>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</si>
  <si>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</si>
  <si>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</si>
  <si>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</si>
  <si>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productid</t>
  </si>
  <si>
    <t>quantity</t>
  </si>
  <si>
    <t>Total price</t>
  </si>
  <si>
    <t>Q.1</t>
  </si>
  <si>
    <t>Q.2</t>
  </si>
  <si>
    <t>Q.3</t>
  </si>
  <si>
    <t>Q.4</t>
  </si>
  <si>
    <t>Q.5</t>
  </si>
  <si>
    <t>Q.6</t>
  </si>
  <si>
    <t>Q.7</t>
  </si>
  <si>
    <t>Q.3 Use VLOOKUP to check if there are any ProductIDs in the Orders worksheet that do not exist in the Products worksheet.</t>
  </si>
  <si>
    <t>Q.4  Assume a discount of 10% is given on all products. Use VLOOKUP to find the original price and then calculate the discounted price.</t>
  </si>
  <si>
    <t>Q.5 Use VLOOKUP to find the price for each ProductID and then calculate the order value. Find the maximum order value from the list.</t>
  </si>
  <si>
    <t>Q.6 Use VLOOKUP to find out which products from the Products worksheet have not been ordered.</t>
  </si>
  <si>
    <t>Q.7 Use VLOOKUP to find the Product name and summarize the total quantity sold for each product.</t>
  </si>
  <si>
    <t>Q.1 Use VLOOKUP to find the product names for each ProductID in the Orders worksheet.</t>
  </si>
  <si>
    <t>Q.2 Use VLOOKUP to find the price for each ProductID in the Orders worksheet, then calculate the TotalPrice by multiplying the Quantity by the Product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</si>
</sst>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7BEC-909D-458B-B570-A7236A9670F6}">
  <dimension ref="A2:E9"/>
  <sheetViews>
    <sheetView tabSelected="1" topLeftCell="A2" workbookViewId="0">
      <selection activeCell="G9" sqref="G9"/>
    </sheetView>
  </sheetViews>
  <sheetFormatPr defaultRowHeight="14.4" x14ac:dyDescent="0.3"/>
  <cols>
    <col min="1" max="1" width="10" bestFit="1" customWidth="1"/>
    <col min="2" max="2" width="9.5546875" bestFit="1" customWidth="1"/>
    <col min="3" max="3" width="5.44140625" bestFit="1" customWidth="1"/>
    <col min="5" max="5" width="14.88671875" customWidth="1"/>
  </cols>
  <sheetData>
    <row r="2" spans="1:5" x14ac:dyDescent="0.3">
      <c r="A2" s="1" t="s">
        <v>0</v>
      </c>
      <c r="B2" s="1" t="s">
        <v>1</v>
      </c>
      <c r="C2" s="1" t="s">
        <v>2</v>
      </c>
      <c r="E2" s="7" t="s">
        <v>18</v>
      </c>
    </row>
    <row r="3" spans="1:5" x14ac:dyDescent="0.3">
      <c r="A3" s="2">
        <v>101</v>
      </c>
      <c r="B3" s="2" t="s">
        <v>3</v>
      </c>
      <c r="C3" s="2">
        <v>120</v>
      </c>
      <c r="E3" s="3" t="str">
        <f>IF(ISNA(VLOOKUP(A3,order!$B$1:$C$7,1,0)),"Not Ordered","Ordered")</f>
        <v>Ordered</v>
      </c>
    </row>
    <row r="4" spans="1:5" x14ac:dyDescent="0.3">
      <c r="A4" s="2">
        <v>102</v>
      </c>
      <c r="B4" s="2" t="s">
        <v>4</v>
      </c>
      <c r="C4" s="2">
        <v>150</v>
      </c>
      <c r="E4" s="3" t="str">
        <f>IF(ISNA(VLOOKUP(A4,order!$B$1:$C$7,1,0)),"Not Ordered","Ordered")</f>
        <v>Ordered</v>
      </c>
    </row>
    <row r="5" spans="1:5" x14ac:dyDescent="0.3">
      <c r="A5" s="2">
        <v>103</v>
      </c>
      <c r="B5" s="2" t="s">
        <v>5</v>
      </c>
      <c r="C5" s="2">
        <v>200</v>
      </c>
      <c r="E5" s="3" t="str">
        <f>IF(ISNA(VLOOKUP(A5,order!$B$1:$C$7,1,0)),"Not Ordered","Ordered")</f>
        <v>Ordered</v>
      </c>
    </row>
    <row r="6" spans="1:5" x14ac:dyDescent="0.3">
      <c r="A6" s="2">
        <v>104</v>
      </c>
      <c r="B6" s="2" t="s">
        <v>6</v>
      </c>
      <c r="C6" s="2">
        <v>90</v>
      </c>
      <c r="E6" s="3" t="str">
        <f>IF(ISNA(VLOOKUP(A6,order!$B$1:$C$7,1,0)),"Not Ordered","Ordered")</f>
        <v>Ordered</v>
      </c>
    </row>
    <row r="7" spans="1:5" x14ac:dyDescent="0.3">
      <c r="A7" s="2">
        <v>105</v>
      </c>
      <c r="B7" s="2" t="s">
        <v>7</v>
      </c>
      <c r="C7" s="2">
        <v>220</v>
      </c>
      <c r="E7" s="3" t="str">
        <f>IF(ISNA(VLOOKUP(A7,order!$B$1:$C$7,1,0)),"Not Ordered","Ordered")</f>
        <v>Ordered</v>
      </c>
    </row>
    <row r="8" spans="1:5" x14ac:dyDescent="0.3">
      <c r="A8" s="2">
        <v>106</v>
      </c>
      <c r="B8" s="2" t="s">
        <v>8</v>
      </c>
      <c r="C8" s="2">
        <v>130</v>
      </c>
      <c r="E8" s="3" t="str">
        <f>IF(ISNA(VLOOKUP(A8,order!$B$1:$C$7,1,0)),"Not Ordered","Ordered")</f>
        <v>Ordered</v>
      </c>
    </row>
    <row r="9" spans="1:5" x14ac:dyDescent="0.3">
      <c r="D9">
        <v>110</v>
      </c>
      <c r="E9" s="3" t="str">
        <f>IF(ISNA(VLOOKUP(A9,order!$B$1:$C$7,1,0)),"Not Ordered","Ordered")</f>
        <v>Not 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A941-C923-4EC3-B6C8-AD78F37D46E2}">
  <dimension ref="A1:K18"/>
  <sheetViews>
    <sheetView workbookViewId="0">
      <selection activeCell="N3" sqref="N3"/>
    </sheetView>
  </sheetViews>
  <sheetFormatPr defaultRowHeight="14.4" x14ac:dyDescent="0.3"/>
  <cols>
    <col min="1" max="1" width="7.5546875" bestFit="1" customWidth="1"/>
    <col min="2" max="2" width="9.5546875" bestFit="1" customWidth="1"/>
    <col min="3" max="3" width="8.44140625" bestFit="1" customWidth="1"/>
    <col min="4" max="4" width="10.33203125" bestFit="1" customWidth="1"/>
    <col min="5" max="5" width="9.5546875" bestFit="1" customWidth="1"/>
    <col min="6" max="6" width="7.109375" customWidth="1"/>
    <col min="7" max="7" width="6" bestFit="1" customWidth="1"/>
    <col min="8" max="8" width="7.21875" customWidth="1"/>
    <col min="9" max="10" width="9.109375" style="3"/>
  </cols>
  <sheetData>
    <row r="1" spans="1:11" x14ac:dyDescent="0.3">
      <c r="A1" s="1" t="s">
        <v>9</v>
      </c>
      <c r="B1" s="1" t="s">
        <v>10</v>
      </c>
      <c r="C1" s="1" t="s">
        <v>11</v>
      </c>
      <c r="D1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6" t="s">
        <v>17</v>
      </c>
      <c r="J1" s="6" t="s">
        <v>17</v>
      </c>
      <c r="K1" s="6" t="s">
        <v>19</v>
      </c>
    </row>
    <row r="2" spans="1:11" x14ac:dyDescent="0.3">
      <c r="A2" s="2">
        <v>1</v>
      </c>
      <c r="B2" s="2">
        <v>101</v>
      </c>
      <c r="C2" s="2">
        <v>2</v>
      </c>
      <c r="E2" s="2" t="str">
        <f>VLOOKUP(B2,products!$A$3:$C$8,2,FALSE)</f>
        <v>product A</v>
      </c>
      <c r="F2" s="2">
        <f>VLOOKUP(B2,products!$A$3:$C$8,3,FALSE)*C2</f>
        <v>240</v>
      </c>
      <c r="G2" s="2" t="str">
        <f>IF(ISNA(VLOOKUP(B2,products!$A$3:$C$8,1,FALSE)),"Not found","Exists")</f>
        <v>Exists</v>
      </c>
      <c r="H2" s="2">
        <f>VLOOKUP(B2,products!$A$3:$C$8,3,0)*0.9</f>
        <v>108</v>
      </c>
      <c r="I2" s="2">
        <f>VLOOKUP(B2,products!$A$3:$C$8,3,0)*C2</f>
        <v>240</v>
      </c>
      <c r="J2" s="3">
        <f>MAX(I2:I7)</f>
        <v>880</v>
      </c>
      <c r="K2" s="3" t="str">
        <f>VLOOKUP(B2,products!$A$2:$C$8,2,0)</f>
        <v>product A</v>
      </c>
    </row>
    <row r="3" spans="1:11" x14ac:dyDescent="0.3">
      <c r="A3" s="2">
        <v>2</v>
      </c>
      <c r="B3" s="2">
        <v>103</v>
      </c>
      <c r="C3" s="2">
        <v>1</v>
      </c>
      <c r="E3" s="2" t="str">
        <f>VLOOKUP(B3,products!$A$3:$C$8,2,FALSE)</f>
        <v>product C</v>
      </c>
      <c r="F3" s="2">
        <f>VLOOKUP(B3,products!$A$3:$C$8,3,FALSE)*C3</f>
        <v>200</v>
      </c>
      <c r="G3" s="2" t="str">
        <f>IF(ISNA(VLOOKUP(B3,products!$A$3:$C$8,1,FALSE)),"Not found","Exists")</f>
        <v>Exists</v>
      </c>
      <c r="H3" s="2">
        <f>VLOOKUP(B3,products!$A$3:$C$8,3,0)*0.9</f>
        <v>180</v>
      </c>
      <c r="I3" s="2">
        <f>VLOOKUP(B3,products!$A$3:$C$8,3,0)*C3</f>
        <v>200</v>
      </c>
      <c r="K3" s="3" t="str">
        <f>VLOOKUP(B3,products!$A$2:$C$8,2,0)</f>
        <v>product C</v>
      </c>
    </row>
    <row r="4" spans="1:11" x14ac:dyDescent="0.3">
      <c r="A4" s="2">
        <v>3</v>
      </c>
      <c r="B4" s="2">
        <v>105</v>
      </c>
      <c r="C4" s="2">
        <v>4</v>
      </c>
      <c r="E4" s="2" t="str">
        <f>VLOOKUP(B4,products!$A$3:$C$8,2,FALSE)</f>
        <v>product E</v>
      </c>
      <c r="F4" s="2">
        <f>VLOOKUP(B4,products!$A$3:$C$8,3,FALSE)*C4</f>
        <v>880</v>
      </c>
      <c r="G4" s="2" t="str">
        <f>IF(ISNA(VLOOKUP(B4,products!$A$3:$C$8,1,FALSE)),"Not found","Exists")</f>
        <v>Exists</v>
      </c>
      <c r="H4" s="2">
        <f>VLOOKUP(B4,products!$A$3:$C$8,3,0)*0.9</f>
        <v>198</v>
      </c>
      <c r="I4" s="2">
        <f>VLOOKUP(B4,products!$A$3:$C$8,3,0)*C4</f>
        <v>880</v>
      </c>
      <c r="K4" s="3" t="str">
        <f>VLOOKUP(B4,products!$A$2:$C$8,2,0)</f>
        <v>product E</v>
      </c>
    </row>
    <row r="5" spans="1:11" x14ac:dyDescent="0.3">
      <c r="A5" s="2">
        <v>4</v>
      </c>
      <c r="B5" s="2">
        <v>106</v>
      </c>
      <c r="C5" s="2">
        <v>3</v>
      </c>
      <c r="E5" s="2" t="str">
        <f>VLOOKUP(B5,products!$A$3:$C$8,2,FALSE)</f>
        <v>product F</v>
      </c>
      <c r="F5" s="2">
        <f>VLOOKUP(B5,products!$A$3:$C$8,3,FALSE)*C5</f>
        <v>390</v>
      </c>
      <c r="G5" s="2" t="str">
        <f>IF(ISNA(VLOOKUP(B5,products!$A$3:$C$8,1,FALSE)),"Not found","Exists")</f>
        <v>Exists</v>
      </c>
      <c r="H5" s="2">
        <f>VLOOKUP(B5,products!$A$3:$C$8,3,0)*0.9</f>
        <v>117</v>
      </c>
      <c r="I5" s="2">
        <f>VLOOKUP(B5,products!$A$3:$C$8,3,0)*C5</f>
        <v>390</v>
      </c>
      <c r="K5" s="3" t="str">
        <f>VLOOKUP(B5,products!$A$2:$C$8,2,0)</f>
        <v>product F</v>
      </c>
    </row>
    <row r="6" spans="1:11" x14ac:dyDescent="0.3">
      <c r="A6" s="2">
        <v>5</v>
      </c>
      <c r="B6" s="2">
        <v>102</v>
      </c>
      <c r="C6" s="2">
        <v>5</v>
      </c>
      <c r="E6" s="2" t="str">
        <f>VLOOKUP(B6,products!$A$3:$C$8,2,FALSE)</f>
        <v>product B</v>
      </c>
      <c r="F6" s="2">
        <f>VLOOKUP(B6,products!$A$3:$C$8,3,FALSE)*C6</f>
        <v>750</v>
      </c>
      <c r="G6" s="2" t="str">
        <f>IF(ISNA(VLOOKUP(B6,products!$A$3:$C$8,1,FALSE)),"Not found","Exists")</f>
        <v>Exists</v>
      </c>
      <c r="H6" s="2">
        <f>VLOOKUP(B6,products!$A$3:$C$8,3,0)*0.9</f>
        <v>135</v>
      </c>
      <c r="I6" s="2">
        <f>VLOOKUP(B6,products!$A$3:$C$8,3,0)*C6</f>
        <v>750</v>
      </c>
      <c r="K6" s="3" t="str">
        <f>VLOOKUP(B6,products!$A$2:$C$8,2,0)</f>
        <v>product B</v>
      </c>
    </row>
    <row r="7" spans="1:11" x14ac:dyDescent="0.3">
      <c r="A7" s="2">
        <v>6</v>
      </c>
      <c r="B7" s="2">
        <v>104</v>
      </c>
      <c r="C7" s="2">
        <v>6</v>
      </c>
      <c r="E7" s="2" t="str">
        <f>VLOOKUP(B7,products!$A$3:$C$8,2,FALSE)</f>
        <v>product D</v>
      </c>
      <c r="F7" s="2">
        <f>VLOOKUP(B7,products!$A$3:$C$8,3,FALSE)*C7</f>
        <v>540</v>
      </c>
      <c r="G7" s="2" t="str">
        <f>IF(ISNA(VLOOKUP(B7,products!$A$3:$C$8,1,FALSE)),"Not found","Exists")</f>
        <v>Exists</v>
      </c>
      <c r="H7" s="2">
        <f>VLOOKUP(B7,products!$A$3:$C$8,3,0)*0.9</f>
        <v>81</v>
      </c>
      <c r="I7" s="2">
        <f>VLOOKUP(B7,products!$A$3:$C$8,3,0)*C7</f>
        <v>540</v>
      </c>
      <c r="K7" s="3" t="str">
        <f>VLOOKUP(B7,products!$A$2:$C$8,2,0)</f>
        <v>product D</v>
      </c>
    </row>
    <row r="12" spans="1:11" ht="15.6" x14ac:dyDescent="0.3">
      <c r="A12" s="4" t="s">
        <v>25</v>
      </c>
    </row>
    <row r="13" spans="1:11" s="8" customFormat="1" ht="15.6" x14ac:dyDescent="0.3">
      <c r="A13" s="8" t="s">
        <v>26</v>
      </c>
    </row>
    <row r="14" spans="1:11" s="8" customFormat="1" ht="15.6" x14ac:dyDescent="0.3">
      <c r="A14" s="8" t="s">
        <v>20</v>
      </c>
    </row>
    <row r="15" spans="1:11" s="8" customFormat="1" ht="15.6" x14ac:dyDescent="0.3">
      <c r="A15" s="8" t="s">
        <v>21</v>
      </c>
    </row>
    <row r="16" spans="1:11" s="8" customFormat="1" ht="15.6" x14ac:dyDescent="0.3">
      <c r="A16" s="8" t="s">
        <v>22</v>
      </c>
    </row>
    <row r="17" spans="1:1" s="8" customFormat="1" ht="15.6" x14ac:dyDescent="0.3">
      <c r="A17" s="8" t="s">
        <v>23</v>
      </c>
    </row>
    <row r="18" spans="1:1" s="8" customFormat="1" ht="15.6" x14ac:dyDescent="0.3">
      <c r="A18" s="8" t="s">
        <v>24</v>
      </c>
    </row>
  </sheetData>
  <mergeCells count="6">
    <mergeCell ref="A18:XFD18"/>
    <mergeCell ref="A13:XFD13"/>
    <mergeCell ref="A14:XFD14"/>
    <mergeCell ref="A15:XFD15"/>
    <mergeCell ref="A16:XFD16"/>
    <mergeCell ref="A17:XF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Payal Das</cp:lastModifiedBy>
  <dcterms:created xsi:type="dcterms:W3CDTF">2025-11-26T05:27:48Z</dcterms:created>
  <dcterms:modified xsi:type="dcterms:W3CDTF">2025-12-08T07:03:52Z</dcterms:modified>
</cp:coreProperties>
</file>