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ernal\"/>
    </mc:Choice>
  </mc:AlternateContent>
  <xr:revisionPtr revIDLastSave="0" documentId="13_ncr:1_{62E7BA7D-CCC3-4C30-AE4B-66D41052B15B}" xr6:coauthVersionLast="47" xr6:coauthVersionMax="47" xr10:uidLastSave="{00000000-0000-0000-0000-000000000000}"/>
  <bookViews>
    <workbookView xWindow="-108" yWindow="-108" windowWidth="23256" windowHeight="12456" activeTab="1" xr2:uid="{878BE2CB-8962-42D1-A2BD-083B0F381791}"/>
  </bookViews>
  <sheets>
    <sheet name="Sheet1" sheetId="1" r:id="rId1"/>
    <sheet name="Assignment_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1" i="2" l="1"/>
  <c r="A87" i="2"/>
  <c r="A88" i="2"/>
  <c r="A89" i="2"/>
  <c r="A90" i="2"/>
  <c r="A86" i="2"/>
  <c r="A81" i="2"/>
  <c r="A82" i="2"/>
  <c r="A78" i="2"/>
  <c r="A79" i="2"/>
  <c r="A80" i="2"/>
  <c r="A77" i="2"/>
  <c r="A70" i="2"/>
  <c r="A71" i="2"/>
  <c r="A72" i="2"/>
  <c r="A73" i="2"/>
  <c r="A74" i="2"/>
  <c r="A69" i="2"/>
  <c r="A59" i="2"/>
  <c r="A55" i="2"/>
  <c r="A56" i="2"/>
  <c r="A57" i="2"/>
  <c r="A58" i="2"/>
  <c r="A54" i="2"/>
  <c r="A42" i="2"/>
  <c r="A43" i="2"/>
  <c r="A44" i="2"/>
  <c r="A45" i="2"/>
  <c r="A46" i="2"/>
  <c r="A41" i="2"/>
  <c r="A31" i="2"/>
  <c r="A32" i="2"/>
  <c r="A33" i="2"/>
  <c r="A34" i="2"/>
  <c r="A35" i="2"/>
  <c r="A30" i="2"/>
  <c r="A23" i="2"/>
  <c r="A22" i="2"/>
  <c r="A21" i="2"/>
  <c r="A20" i="2"/>
  <c r="A19" i="2"/>
  <c r="A18" i="2"/>
  <c r="A15" i="2"/>
  <c r="A14" i="2"/>
  <c r="A13" i="2"/>
  <c r="A12" i="2"/>
  <c r="A11" i="2"/>
  <c r="A10" i="2"/>
  <c r="D130" i="1"/>
  <c r="D131" i="1"/>
  <c r="D132" i="1"/>
  <c r="D133" i="1"/>
  <c r="C130" i="1"/>
  <c r="C131" i="1"/>
  <c r="C132" i="1"/>
  <c r="C133" i="1"/>
  <c r="E129" i="1"/>
  <c r="D129" i="1"/>
  <c r="C129" i="1"/>
  <c r="C119" i="1"/>
  <c r="C120" i="1"/>
  <c r="C121" i="1"/>
  <c r="C122" i="1"/>
  <c r="C118" i="1"/>
  <c r="E109" i="1"/>
  <c r="E110" i="1"/>
  <c r="E111" i="1"/>
  <c r="E112" i="1"/>
  <c r="E113" i="1"/>
  <c r="E108" i="1"/>
  <c r="D109" i="1"/>
  <c r="D110" i="1"/>
  <c r="D111" i="1"/>
  <c r="D112" i="1"/>
  <c r="D108" i="1"/>
  <c r="C109" i="1"/>
  <c r="C110" i="1"/>
  <c r="C111" i="1"/>
  <c r="C112" i="1"/>
  <c r="C108" i="1"/>
  <c r="B109" i="1"/>
  <c r="B110" i="1"/>
  <c r="B111" i="1"/>
  <c r="B112" i="1"/>
  <c r="B108" i="1"/>
  <c r="F99" i="1"/>
  <c r="F100" i="1"/>
  <c r="F101" i="1"/>
  <c r="F102" i="1"/>
  <c r="F98" i="1"/>
  <c r="E99" i="1"/>
  <c r="E100" i="1"/>
  <c r="E101" i="1"/>
  <c r="E102" i="1"/>
  <c r="E98" i="1"/>
  <c r="D99" i="1"/>
  <c r="D100" i="1"/>
  <c r="D101" i="1"/>
  <c r="D102" i="1"/>
  <c r="D98" i="1"/>
  <c r="C99" i="1"/>
  <c r="C100" i="1"/>
  <c r="C101" i="1"/>
  <c r="C102" i="1"/>
  <c r="C98" i="1"/>
  <c r="B99" i="1"/>
  <c r="B100" i="1"/>
  <c r="B101" i="1"/>
  <c r="B102" i="1"/>
  <c r="B98" i="1"/>
  <c r="C89" i="1"/>
  <c r="C90" i="1"/>
  <c r="C91" i="1"/>
  <c r="C92" i="1"/>
  <c r="C88" i="1"/>
  <c r="C79" i="1"/>
  <c r="C78" i="1"/>
  <c r="C77" i="1"/>
  <c r="C76" i="1"/>
  <c r="C74" i="1"/>
  <c r="C75" i="1"/>
  <c r="C71" i="1"/>
  <c r="C70" i="1"/>
  <c r="G28" i="1"/>
  <c r="G29" i="1"/>
  <c r="G27" i="1"/>
  <c r="C39" i="1"/>
  <c r="C38" i="1"/>
  <c r="C37" i="1"/>
  <c r="C36" i="1"/>
  <c r="E30" i="1"/>
  <c r="F30" i="1" s="1"/>
  <c r="E29" i="1"/>
  <c r="F29" i="1" s="1"/>
  <c r="E28" i="1"/>
  <c r="F28" i="1" s="1"/>
  <c r="E27" i="1"/>
  <c r="F27" i="1" s="1"/>
  <c r="F20" i="1"/>
  <c r="E22" i="1"/>
  <c r="F22" i="1" s="1"/>
  <c r="E21" i="1"/>
  <c r="F21" i="1" s="1"/>
  <c r="E20" i="1"/>
  <c r="E19" i="1"/>
  <c r="F19" i="1" s="1"/>
  <c r="E13" i="1"/>
  <c r="E14" i="1"/>
  <c r="E12" i="1"/>
  <c r="D13" i="1"/>
  <c r="D14" i="1"/>
  <c r="D12" i="1"/>
  <c r="C13" i="1"/>
  <c r="C14" i="1"/>
  <c r="C12" i="1"/>
  <c r="B13" i="1"/>
  <c r="B14" i="1"/>
  <c r="B12" i="1"/>
  <c r="E5" i="1"/>
  <c r="F5" i="1" s="1"/>
  <c r="E6" i="1"/>
  <c r="F6" i="1" s="1"/>
  <c r="E7" i="1"/>
  <c r="F7" i="1" s="1"/>
  <c r="E4" i="1"/>
  <c r="F4" i="1" s="1"/>
  <c r="G30" i="1" l="1"/>
</calcChain>
</file>

<file path=xl/sharedStrings.xml><?xml version="1.0" encoding="utf-8"?>
<sst xmlns="http://schemas.openxmlformats.org/spreadsheetml/2006/main" count="193" uniqueCount="115">
  <si>
    <t>Relative Cell Reference :</t>
  </si>
  <si>
    <t>Name</t>
  </si>
  <si>
    <t>Subject1</t>
  </si>
  <si>
    <t>subject2</t>
  </si>
  <si>
    <t>subject3</t>
  </si>
  <si>
    <t>Punam</t>
  </si>
  <si>
    <t>Neha</t>
  </si>
  <si>
    <t>Amit</t>
  </si>
  <si>
    <t>Mayur</t>
  </si>
  <si>
    <t xml:space="preserve">Total </t>
  </si>
  <si>
    <t>Percentage</t>
  </si>
  <si>
    <t>Mixed Cell Reference:</t>
  </si>
  <si>
    <t>M.T</t>
  </si>
  <si>
    <t>IF:</t>
  </si>
  <si>
    <t>Nested IF:</t>
  </si>
  <si>
    <t>Grade</t>
  </si>
  <si>
    <t>Customer</t>
  </si>
  <si>
    <t>Purchase amt</t>
  </si>
  <si>
    <t>Discount Amount</t>
  </si>
  <si>
    <t>Create a table if purchase is greater than 1000 then they will get a discount of 10%</t>
  </si>
  <si>
    <t>Akash</t>
  </si>
  <si>
    <t>Riya</t>
  </si>
  <si>
    <t>Suman</t>
  </si>
  <si>
    <t>Rakesh</t>
  </si>
  <si>
    <t>Custom List</t>
  </si>
  <si>
    <t>Mango</t>
  </si>
  <si>
    <t>Apple</t>
  </si>
  <si>
    <t>Grapes</t>
  </si>
  <si>
    <t>lemon</t>
  </si>
  <si>
    <t>Orange</t>
  </si>
  <si>
    <t>File&gt; Option&gt; Advanced&gt;Edit Custom List&gt; List (names) &gt; dd &gt; Ok</t>
  </si>
  <si>
    <t>Custom List Add and Delete</t>
  </si>
  <si>
    <t>Apple , Ctri +R , Ctrl +D</t>
  </si>
  <si>
    <t>Formula &amp;  Funcions</t>
  </si>
  <si>
    <t xml:space="preserve">Formula is a equation to calculate something </t>
  </si>
  <si>
    <t>Total</t>
  </si>
  <si>
    <t>Formula</t>
  </si>
  <si>
    <t>Function</t>
  </si>
  <si>
    <t>Equal</t>
  </si>
  <si>
    <t>not Equal</t>
  </si>
  <si>
    <t>Greater Than</t>
  </si>
  <si>
    <t>Less Than</t>
  </si>
  <si>
    <t>Greater Than &amp; Equal</t>
  </si>
  <si>
    <t>Less Than &amp; Equal</t>
  </si>
  <si>
    <t>AND , OR &amp; NOR</t>
  </si>
  <si>
    <t>Marks</t>
  </si>
  <si>
    <t>Result</t>
  </si>
  <si>
    <t>Hitesh</t>
  </si>
  <si>
    <t>Dinesh</t>
  </si>
  <si>
    <t>Priya</t>
  </si>
  <si>
    <t>Number 0 to less than 40 result fail, greater than 40 to 60 pass, upper 60 invalid</t>
  </si>
  <si>
    <t>Text Function</t>
  </si>
  <si>
    <t>TRIM</t>
  </si>
  <si>
    <t>UPPER</t>
  </si>
  <si>
    <t>LOWER</t>
  </si>
  <si>
    <t>PROPER</t>
  </si>
  <si>
    <t>LEN</t>
  </si>
  <si>
    <t>RIYA</t>
  </si>
  <si>
    <t xml:space="preserve">               Hitesh</t>
  </si>
  <si>
    <t>Dinesh    roy</t>
  </si>
  <si>
    <t>LEFT</t>
  </si>
  <si>
    <t>LEFT(a1,a2)</t>
  </si>
  <si>
    <t>RIGHT</t>
  </si>
  <si>
    <t>MID</t>
  </si>
  <si>
    <t xml:space="preserve">  Priya</t>
  </si>
  <si>
    <t>Surname</t>
  </si>
  <si>
    <t>Full Name</t>
  </si>
  <si>
    <t>Roy</t>
  </si>
  <si>
    <t>Paul</t>
  </si>
  <si>
    <t>Das</t>
  </si>
  <si>
    <t>Biswas</t>
  </si>
  <si>
    <t>CONCATENATE</t>
  </si>
  <si>
    <t>CONCAT</t>
  </si>
  <si>
    <t>CONCATENATION (cannot select range, only comma's are allowed)</t>
  </si>
  <si>
    <t>Count function</t>
  </si>
  <si>
    <t xml:space="preserve">for character - use counta </t>
  </si>
  <si>
    <t>Count function can be applied only in numbers</t>
  </si>
  <si>
    <t>COUNT</t>
  </si>
  <si>
    <t>COUNTA</t>
  </si>
  <si>
    <t>COUNTBLANK</t>
  </si>
  <si>
    <t>SUM, SUMIFS, AVERAGE, AVERAGE IFS</t>
  </si>
  <si>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</si>
  <si>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</si>
  <si>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</si>
  <si>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</si>
  <si>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</si>
  <si>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</si>
  <si>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</si>
  <si>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</si>
  <si>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</si>
  <si>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</si>
  <si>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</si>
  <si>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</si>
  <si>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</si>
  <si>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</si>
  <si>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</si>
  <si>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1.Use the IF function to evaluate whether each product met its sales target.</t>
  </si>
  <si>
    <t>2.Use the IF function to determine if a product is eligible for a regional bonus.
Products in the "North" region with sales over 200 are eligible.</t>
  </si>
  <si>
    <t>3.Use nested IF functions to assign a commission rate based on sales.</t>
  </si>
  <si>
    <t>Sales ≥ 200 → 10% commission</t>
  </si>
  <si>
    <t>Sales ≥ 150 → 7% commission</t>
  </si>
  <si>
    <t>Others → 5% commission</t>
  </si>
  <si>
    <t>4. Use the IF function to calculate a bonus amount.</t>
  </si>
  <si>
    <t>If sales met or exceeded the target → bonus = 10% of sales</t>
  </si>
  <si>
    <t>Otherwise → bonus = 5%</t>
  </si>
  <si>
    <t>5.Use the IF function to categorize sales performance as:</t>
  </si>
  <si>
    <t>"Excellent" (sales ≥ 200)</t>
  </si>
  <si>
    <t>"Good" (sales ≥ 150)</t>
  </si>
  <si>
    <t>"Needs Improvement" (sales &lt; 150)</t>
  </si>
  <si>
    <t>6.Use the IF function to assign a price tier based on the sales value.</t>
  </si>
  <si>
    <t>"High" for sales &gt; 200</t>
  </si>
  <si>
    <t>"Medium" for sales between 100 and 200</t>
  </si>
  <si>
    <t>"Low" for sales &lt; 100</t>
  </si>
  <si>
    <t>7.Use the IF function to calculate the year-end bonus.</t>
  </si>
  <si>
    <t>8.Use the IF function to mark high performers.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</si>
</sst>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0" fillId="0" borderId="0" xfId="0"/>
    <xf numFmtId="0" fontId="2" fillId="0" borderId="0" xfId="0" applyFont="1" applyAlignment="1"/>
    <xf numFmtId="0" fontId="4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B657-8122-4E5A-9E58-48D0DA29BDF9}">
  <dimension ref="A1:G139"/>
  <sheetViews>
    <sheetView topLeftCell="A111" workbookViewId="0">
      <selection activeCell="B130" sqref="B130"/>
    </sheetView>
  </sheetViews>
  <sheetFormatPr defaultRowHeight="14.4" x14ac:dyDescent="0.3"/>
  <cols>
    <col min="1" max="1" width="39.6640625" style="2" bestFit="1" customWidth="1"/>
    <col min="2" max="2" width="66.33203125" style="2" bestFit="1" customWidth="1"/>
    <col min="3" max="3" width="15.33203125" style="2" customWidth="1"/>
    <col min="4" max="4" width="14.44140625" style="2" customWidth="1"/>
    <col min="5" max="5" width="12.44140625" style="2" customWidth="1"/>
    <col min="6" max="6" width="10.109375" style="2" bestFit="1" customWidth="1"/>
    <col min="7" max="7" width="30.5546875" style="2" customWidth="1"/>
    <col min="8" max="16384" width="8.88671875" style="2"/>
  </cols>
  <sheetData>
    <row r="1" spans="1:6" x14ac:dyDescent="0.3">
      <c r="A1" s="1" t="s">
        <v>0</v>
      </c>
    </row>
    <row r="3" spans="1:6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10</v>
      </c>
    </row>
    <row r="4" spans="1:6" x14ac:dyDescent="0.3">
      <c r="A4" s="3" t="s">
        <v>5</v>
      </c>
      <c r="B4" s="3">
        <v>88</v>
      </c>
      <c r="C4" s="3">
        <v>87</v>
      </c>
      <c r="D4" s="3">
        <v>74</v>
      </c>
      <c r="E4" s="3">
        <f>SUM(B4:D4)</f>
        <v>249</v>
      </c>
      <c r="F4" s="4">
        <f>E4/300</f>
        <v>0.83</v>
      </c>
    </row>
    <row r="5" spans="1:6" x14ac:dyDescent="0.3">
      <c r="A5" s="3" t="s">
        <v>6</v>
      </c>
      <c r="B5" s="3">
        <v>65</v>
      </c>
      <c r="C5" s="3">
        <v>85</v>
      </c>
      <c r="D5" s="3">
        <v>88</v>
      </c>
      <c r="E5" s="3">
        <f t="shared" ref="E5:E7" si="0">SUM(B5:D5)</f>
        <v>238</v>
      </c>
      <c r="F5" s="4">
        <f t="shared" ref="F5:F7" si="1">E5/300</f>
        <v>0.79333333333333333</v>
      </c>
    </row>
    <row r="6" spans="1:6" x14ac:dyDescent="0.3">
      <c r="A6" s="3" t="s">
        <v>7</v>
      </c>
      <c r="B6" s="3">
        <v>70</v>
      </c>
      <c r="C6" s="3">
        <v>98</v>
      </c>
      <c r="D6" s="3">
        <v>89</v>
      </c>
      <c r="E6" s="3">
        <f t="shared" si="0"/>
        <v>257</v>
      </c>
      <c r="F6" s="4">
        <f t="shared" si="1"/>
        <v>0.85666666666666669</v>
      </c>
    </row>
    <row r="7" spans="1:6" x14ac:dyDescent="0.3">
      <c r="A7" s="3" t="s">
        <v>8</v>
      </c>
      <c r="B7" s="3">
        <v>78</v>
      </c>
      <c r="C7" s="3">
        <v>82</v>
      </c>
      <c r="D7" s="3">
        <v>77</v>
      </c>
      <c r="E7" s="3">
        <f t="shared" si="0"/>
        <v>237</v>
      </c>
      <c r="F7" s="4">
        <f t="shared" si="1"/>
        <v>0.79</v>
      </c>
    </row>
    <row r="10" spans="1:6" x14ac:dyDescent="0.3">
      <c r="A10" s="1" t="s">
        <v>11</v>
      </c>
    </row>
    <row r="11" spans="1:6" x14ac:dyDescent="0.3">
      <c r="A11" s="5" t="s">
        <v>12</v>
      </c>
      <c r="B11" s="5">
        <v>10</v>
      </c>
      <c r="C11" s="5">
        <v>20</v>
      </c>
      <c r="D11" s="5">
        <v>30</v>
      </c>
      <c r="E11" s="5">
        <v>40</v>
      </c>
    </row>
    <row r="12" spans="1:6" x14ac:dyDescent="0.3">
      <c r="A12" s="5">
        <v>1</v>
      </c>
      <c r="B12" s="3">
        <f>A12*$B$11</f>
        <v>10</v>
      </c>
      <c r="C12" s="3">
        <f>A12*$C$11</f>
        <v>20</v>
      </c>
      <c r="D12" s="3">
        <f>A12*$D$11</f>
        <v>30</v>
      </c>
      <c r="E12" s="3">
        <f>A12*$E$11</f>
        <v>40</v>
      </c>
    </row>
    <row r="13" spans="1:6" x14ac:dyDescent="0.3">
      <c r="A13" s="5">
        <v>2</v>
      </c>
      <c r="B13" s="3">
        <f t="shared" ref="B13:B14" si="2">A13*$B$11</f>
        <v>20</v>
      </c>
      <c r="C13" s="3">
        <f t="shared" ref="C13:C14" si="3">A13*$C$11</f>
        <v>40</v>
      </c>
      <c r="D13" s="3">
        <f t="shared" ref="D13:D14" si="4">A13*$D$11</f>
        <v>60</v>
      </c>
      <c r="E13" s="3">
        <f t="shared" ref="E13:E14" si="5">A13*$E$11</f>
        <v>80</v>
      </c>
    </row>
    <row r="14" spans="1:6" x14ac:dyDescent="0.3">
      <c r="A14" s="5">
        <v>3</v>
      </c>
      <c r="B14" s="3">
        <f t="shared" si="2"/>
        <v>30</v>
      </c>
      <c r="C14" s="3">
        <f t="shared" si="3"/>
        <v>60</v>
      </c>
      <c r="D14" s="3">
        <f t="shared" si="4"/>
        <v>90</v>
      </c>
      <c r="E14" s="3">
        <f t="shared" si="5"/>
        <v>120</v>
      </c>
    </row>
    <row r="17" spans="1:7" x14ac:dyDescent="0.3">
      <c r="A17" s="1" t="s">
        <v>13</v>
      </c>
    </row>
    <row r="18" spans="1:7" x14ac:dyDescent="0.3">
      <c r="A18" s="3" t="s">
        <v>1</v>
      </c>
      <c r="B18" s="3" t="s">
        <v>2</v>
      </c>
      <c r="C18" s="3" t="s">
        <v>3</v>
      </c>
      <c r="D18" s="3" t="s">
        <v>4</v>
      </c>
      <c r="E18" s="3" t="s">
        <v>9</v>
      </c>
      <c r="F18" s="3" t="s">
        <v>15</v>
      </c>
    </row>
    <row r="19" spans="1:7" x14ac:dyDescent="0.3">
      <c r="A19" s="3" t="s">
        <v>5</v>
      </c>
      <c r="B19" s="3">
        <v>88</v>
      </c>
      <c r="C19" s="3">
        <v>87</v>
      </c>
      <c r="D19" s="3">
        <v>74</v>
      </c>
      <c r="E19" s="3">
        <f>SUM(B19:D19)</f>
        <v>249</v>
      </c>
      <c r="F19" s="3" t="str">
        <f>IF(E19&gt;=250,"A","B")</f>
        <v>B</v>
      </c>
    </row>
    <row r="20" spans="1:7" x14ac:dyDescent="0.3">
      <c r="A20" s="3" t="s">
        <v>6</v>
      </c>
      <c r="B20" s="3">
        <v>65</v>
      </c>
      <c r="C20" s="3">
        <v>85</v>
      </c>
      <c r="D20" s="3">
        <v>88</v>
      </c>
      <c r="E20" s="3">
        <f t="shared" ref="E20:E22" si="6">SUM(B20:D20)</f>
        <v>238</v>
      </c>
      <c r="F20" s="3" t="str">
        <f t="shared" ref="F20:F22" si="7">IF(E20&gt;=250,"A","B")</f>
        <v>B</v>
      </c>
    </row>
    <row r="21" spans="1:7" x14ac:dyDescent="0.3">
      <c r="A21" s="3" t="s">
        <v>7</v>
      </c>
      <c r="B21" s="3">
        <v>70</v>
      </c>
      <c r="C21" s="3">
        <v>98</v>
      </c>
      <c r="D21" s="3">
        <v>89</v>
      </c>
      <c r="E21" s="3">
        <f t="shared" si="6"/>
        <v>257</v>
      </c>
      <c r="F21" s="3" t="str">
        <f t="shared" si="7"/>
        <v>A</v>
      </c>
    </row>
    <row r="22" spans="1:7" x14ac:dyDescent="0.3">
      <c r="A22" s="3" t="s">
        <v>8</v>
      </c>
      <c r="B22" s="3">
        <v>78</v>
      </c>
      <c r="C22" s="3">
        <v>82</v>
      </c>
      <c r="D22" s="3">
        <v>77</v>
      </c>
      <c r="E22" s="3">
        <f t="shared" si="6"/>
        <v>237</v>
      </c>
      <c r="F22" s="3" t="str">
        <f t="shared" si="7"/>
        <v>B</v>
      </c>
    </row>
    <row r="25" spans="1:7" x14ac:dyDescent="0.3">
      <c r="A25" s="1" t="s">
        <v>14</v>
      </c>
    </row>
    <row r="26" spans="1:7" x14ac:dyDescent="0.3">
      <c r="A26" s="3" t="s">
        <v>1</v>
      </c>
      <c r="B26" s="3" t="s">
        <v>2</v>
      </c>
      <c r="C26" s="3" t="s">
        <v>3</v>
      </c>
      <c r="D26" s="3" t="s">
        <v>4</v>
      </c>
      <c r="E26" s="3" t="s">
        <v>9</v>
      </c>
      <c r="F26" s="3" t="s">
        <v>10</v>
      </c>
      <c r="G26" s="3" t="s">
        <v>15</v>
      </c>
    </row>
    <row r="27" spans="1:7" x14ac:dyDescent="0.3">
      <c r="A27" s="3" t="s">
        <v>5</v>
      </c>
      <c r="B27" s="3">
        <v>68</v>
      </c>
      <c r="C27" s="3">
        <v>87</v>
      </c>
      <c r="D27" s="3">
        <v>34</v>
      </c>
      <c r="E27" s="3">
        <f>SUM(B27:D27)</f>
        <v>189</v>
      </c>
      <c r="F27" s="4">
        <f>E27/300</f>
        <v>0.63</v>
      </c>
      <c r="G27" s="3" t="str">
        <f>IF(E27&gt;200,"A",IF(E27&gt;=180,"B",IF(E27&gt;=150,"C","D")))</f>
        <v>B</v>
      </c>
    </row>
    <row r="28" spans="1:7" x14ac:dyDescent="0.3">
      <c r="A28" s="3" t="s">
        <v>6</v>
      </c>
      <c r="B28" s="3">
        <v>65</v>
      </c>
      <c r="C28" s="3">
        <v>55</v>
      </c>
      <c r="D28" s="3">
        <v>55</v>
      </c>
      <c r="E28" s="3">
        <f t="shared" ref="E28:E30" si="8">SUM(B28:D28)</f>
        <v>175</v>
      </c>
      <c r="F28" s="4">
        <f t="shared" ref="F28:F30" si="9">E28/300</f>
        <v>0.58333333333333337</v>
      </c>
      <c r="G28" s="3" t="str">
        <f t="shared" ref="G28:G30" si="10">IF(E28&gt;200,"A",IF(E28&gt;=180,"B",IF(E28&gt;=150,"C","D")))</f>
        <v>C</v>
      </c>
    </row>
    <row r="29" spans="1:7" x14ac:dyDescent="0.3">
      <c r="A29" s="3" t="s">
        <v>7</v>
      </c>
      <c r="B29" s="3">
        <v>70</v>
      </c>
      <c r="C29" s="3">
        <v>55</v>
      </c>
      <c r="D29" s="3">
        <v>88</v>
      </c>
      <c r="E29" s="3">
        <f t="shared" si="8"/>
        <v>213</v>
      </c>
      <c r="F29" s="4">
        <f t="shared" si="9"/>
        <v>0.71</v>
      </c>
      <c r="G29" s="3" t="str">
        <f t="shared" si="10"/>
        <v>A</v>
      </c>
    </row>
    <row r="30" spans="1:7" x14ac:dyDescent="0.3">
      <c r="A30" s="3" t="s">
        <v>8</v>
      </c>
      <c r="B30" s="3">
        <v>34</v>
      </c>
      <c r="C30" s="3">
        <v>22</v>
      </c>
      <c r="D30" s="3">
        <v>77</v>
      </c>
      <c r="E30" s="3">
        <f t="shared" si="8"/>
        <v>133</v>
      </c>
      <c r="F30" s="4">
        <f t="shared" si="9"/>
        <v>0.44333333333333336</v>
      </c>
      <c r="G30" s="3" t="str">
        <f t="shared" si="10"/>
        <v>D</v>
      </c>
    </row>
    <row r="33" spans="1:4" ht="57.6" x14ac:dyDescent="0.3">
      <c r="A33" s="6" t="s">
        <v>19</v>
      </c>
    </row>
    <row r="35" spans="1:4" customFormat="1" x14ac:dyDescent="0.3">
      <c r="A35" s="5" t="s">
        <v>16</v>
      </c>
      <c r="B35" s="7" t="s">
        <v>17</v>
      </c>
      <c r="C35" s="7" t="s">
        <v>18</v>
      </c>
      <c r="D35" s="7"/>
    </row>
    <row r="36" spans="1:4" x14ac:dyDescent="0.3">
      <c r="A36" s="3" t="s">
        <v>20</v>
      </c>
      <c r="B36" s="3">
        <v>900</v>
      </c>
      <c r="C36" s="3">
        <f>IF(B36&gt;=1000,B36*10%,0)</f>
        <v>0</v>
      </c>
      <c r="D36" s="3"/>
    </row>
    <row r="37" spans="1:4" x14ac:dyDescent="0.3">
      <c r="A37" s="3" t="s">
        <v>21</v>
      </c>
      <c r="B37" s="3">
        <v>1000</v>
      </c>
      <c r="C37" s="3">
        <f t="shared" ref="C37:C39" si="11">IF(B37&gt;=1000,B37*10%,0)</f>
        <v>100</v>
      </c>
      <c r="D37" s="3"/>
    </row>
    <row r="38" spans="1:4" x14ac:dyDescent="0.3">
      <c r="A38" s="3" t="s">
        <v>22</v>
      </c>
      <c r="B38" s="3">
        <v>500</v>
      </c>
      <c r="C38" s="3">
        <f t="shared" si="11"/>
        <v>0</v>
      </c>
      <c r="D38" s="3"/>
    </row>
    <row r="39" spans="1:4" x14ac:dyDescent="0.3">
      <c r="A39" s="3" t="s">
        <v>23</v>
      </c>
      <c r="B39" s="3">
        <v>2000</v>
      </c>
      <c r="C39" s="3">
        <f t="shared" si="11"/>
        <v>200</v>
      </c>
      <c r="D39" s="3"/>
    </row>
    <row r="42" spans="1:4" x14ac:dyDescent="0.3">
      <c r="A42" s="1" t="s">
        <v>31</v>
      </c>
    </row>
    <row r="43" spans="1:4" x14ac:dyDescent="0.3">
      <c r="A43" s="3" t="s">
        <v>24</v>
      </c>
    </row>
    <row r="44" spans="1:4" x14ac:dyDescent="0.3">
      <c r="A44" s="3" t="s">
        <v>25</v>
      </c>
      <c r="C44" s="2" t="s">
        <v>30</v>
      </c>
    </row>
    <row r="45" spans="1:4" x14ac:dyDescent="0.3">
      <c r="A45" s="3" t="s">
        <v>26</v>
      </c>
    </row>
    <row r="46" spans="1:4" x14ac:dyDescent="0.3">
      <c r="A46" s="3" t="s">
        <v>27</v>
      </c>
      <c r="C46" s="2" t="s">
        <v>26</v>
      </c>
    </row>
    <row r="47" spans="1:4" x14ac:dyDescent="0.3">
      <c r="A47" s="3" t="s">
        <v>28</v>
      </c>
    </row>
    <row r="48" spans="1:4" x14ac:dyDescent="0.3">
      <c r="A48" s="3" t="s">
        <v>29</v>
      </c>
    </row>
    <row r="49" spans="1:7" x14ac:dyDescent="0.3">
      <c r="A49" s="3" t="s">
        <v>25</v>
      </c>
    </row>
    <row r="50" spans="1:7" x14ac:dyDescent="0.3">
      <c r="A50" s="3" t="s">
        <v>26</v>
      </c>
    </row>
    <row r="54" spans="1:7" x14ac:dyDescent="0.3">
      <c r="C54" s="2" t="s">
        <v>26</v>
      </c>
      <c r="D54" s="2" t="s">
        <v>26</v>
      </c>
      <c r="E54" s="2" t="s">
        <v>26</v>
      </c>
      <c r="F54" s="2" t="s">
        <v>26</v>
      </c>
    </row>
    <row r="55" spans="1:7" x14ac:dyDescent="0.3">
      <c r="C55" s="2" t="s">
        <v>26</v>
      </c>
      <c r="D55" s="2" t="s">
        <v>26</v>
      </c>
      <c r="E55" s="2" t="s">
        <v>26</v>
      </c>
      <c r="F55" s="2" t="s">
        <v>26</v>
      </c>
      <c r="G55" s="2" t="s">
        <v>32</v>
      </c>
    </row>
    <row r="56" spans="1:7" x14ac:dyDescent="0.3">
      <c r="C56" s="2" t="s">
        <v>26</v>
      </c>
      <c r="D56" s="2" t="s">
        <v>26</v>
      </c>
      <c r="E56" s="2" t="s">
        <v>26</v>
      </c>
      <c r="F56" s="2" t="s">
        <v>26</v>
      </c>
    </row>
    <row r="57" spans="1:7" x14ac:dyDescent="0.3">
      <c r="C57" s="2" t="s">
        <v>26</v>
      </c>
      <c r="D57" s="2" t="s">
        <v>26</v>
      </c>
      <c r="E57" s="2" t="s">
        <v>26</v>
      </c>
      <c r="F57" s="2" t="s">
        <v>26</v>
      </c>
    </row>
    <row r="58" spans="1:7" x14ac:dyDescent="0.3">
      <c r="C58" s="2" t="s">
        <v>26</v>
      </c>
      <c r="D58" s="2" t="s">
        <v>26</v>
      </c>
      <c r="E58" s="2" t="s">
        <v>26</v>
      </c>
      <c r="F58" s="2" t="s">
        <v>26</v>
      </c>
    </row>
    <row r="59" spans="1:7" x14ac:dyDescent="0.3">
      <c r="C59" s="2" t="s">
        <v>26</v>
      </c>
      <c r="D59" s="2" t="s">
        <v>26</v>
      </c>
      <c r="E59" s="2" t="s">
        <v>26</v>
      </c>
      <c r="F59" s="2" t="s">
        <v>26</v>
      </c>
    </row>
    <row r="60" spans="1:7" x14ac:dyDescent="0.3">
      <c r="C60" s="2" t="s">
        <v>26</v>
      </c>
      <c r="D60" s="2" t="s">
        <v>26</v>
      </c>
      <c r="E60" s="2" t="s">
        <v>26</v>
      </c>
      <c r="F60" s="2" t="s">
        <v>26</v>
      </c>
    </row>
    <row r="63" spans="1:7" x14ac:dyDescent="0.3">
      <c r="A63" s="1" t="s">
        <v>33</v>
      </c>
    </row>
    <row r="64" spans="1:7" x14ac:dyDescent="0.3">
      <c r="A64" s="1" t="s">
        <v>34</v>
      </c>
    </row>
    <row r="67" spans="1:4" x14ac:dyDescent="0.3">
      <c r="C67" s="2">
        <v>45</v>
      </c>
    </row>
    <row r="68" spans="1:4" x14ac:dyDescent="0.3">
      <c r="C68" s="2">
        <v>23</v>
      </c>
    </row>
    <row r="69" spans="1:4" x14ac:dyDescent="0.3">
      <c r="C69" s="2">
        <v>23</v>
      </c>
    </row>
    <row r="70" spans="1:4" x14ac:dyDescent="0.3">
      <c r="A70" s="1" t="s">
        <v>36</v>
      </c>
      <c r="B70" s="2" t="s">
        <v>35</v>
      </c>
      <c r="C70" s="2">
        <f>C67+C68+C69</f>
        <v>91</v>
      </c>
    </row>
    <row r="71" spans="1:4" x14ac:dyDescent="0.3">
      <c r="A71" s="1" t="s">
        <v>37</v>
      </c>
      <c r="B71" s="2" t="s">
        <v>35</v>
      </c>
      <c r="C71" s="2">
        <f>SUM(C67:C69)</f>
        <v>91</v>
      </c>
    </row>
    <row r="73" spans="1:4" x14ac:dyDescent="0.3">
      <c r="A73" s="5">
        <v>45</v>
      </c>
      <c r="B73" s="5">
        <v>57</v>
      </c>
      <c r="C73" s="3"/>
      <c r="D73" s="3"/>
    </row>
    <row r="74" spans="1:4" x14ac:dyDescent="0.3">
      <c r="A74" s="3"/>
      <c r="B74" s="3" t="s">
        <v>38</v>
      </c>
      <c r="C74" s="3" t="b">
        <f>A73=B73</f>
        <v>0</v>
      </c>
      <c r="D74" s="3"/>
    </row>
    <row r="75" spans="1:4" x14ac:dyDescent="0.3">
      <c r="A75" s="3"/>
      <c r="B75" s="3" t="s">
        <v>39</v>
      </c>
      <c r="C75" s="3" t="b">
        <f>A74&lt;&gt;B74</f>
        <v>1</v>
      </c>
      <c r="D75" s="3"/>
    </row>
    <row r="76" spans="1:4" x14ac:dyDescent="0.3">
      <c r="A76" s="3"/>
      <c r="B76" s="3" t="s">
        <v>40</v>
      </c>
      <c r="C76" s="3" t="b">
        <f>A73&gt;B73</f>
        <v>0</v>
      </c>
      <c r="D76" s="3"/>
    </row>
    <row r="77" spans="1:4" x14ac:dyDescent="0.3">
      <c r="A77" s="3"/>
      <c r="B77" s="3" t="s">
        <v>41</v>
      </c>
      <c r="C77" s="3" t="b">
        <f>A73&lt;B73</f>
        <v>1</v>
      </c>
      <c r="D77" s="3"/>
    </row>
    <row r="78" spans="1:4" x14ac:dyDescent="0.3">
      <c r="A78" s="3"/>
      <c r="B78" s="3" t="s">
        <v>42</v>
      </c>
      <c r="C78" s="3" t="b">
        <f>A73&gt;=B73</f>
        <v>0</v>
      </c>
      <c r="D78" s="3"/>
    </row>
    <row r="79" spans="1:4" x14ac:dyDescent="0.3">
      <c r="A79" s="3"/>
      <c r="B79" s="3" t="s">
        <v>43</v>
      </c>
      <c r="C79" s="3" t="b">
        <f>A73&lt;=B73</f>
        <v>1</v>
      </c>
      <c r="D79" s="3"/>
    </row>
    <row r="80" spans="1:4" x14ac:dyDescent="0.3">
      <c r="A80" s="3"/>
      <c r="B80" s="3"/>
      <c r="C80" s="3"/>
      <c r="D80" s="3"/>
    </row>
    <row r="83" spans="1:3" x14ac:dyDescent="0.3">
      <c r="A83" s="1" t="s">
        <v>44</v>
      </c>
      <c r="B83" s="2" t="s">
        <v>50</v>
      </c>
    </row>
    <row r="87" spans="1:3" x14ac:dyDescent="0.3">
      <c r="A87" s="5" t="s">
        <v>1</v>
      </c>
      <c r="B87" s="5" t="s">
        <v>45</v>
      </c>
      <c r="C87" s="5" t="s">
        <v>46</v>
      </c>
    </row>
    <row r="88" spans="1:3" x14ac:dyDescent="0.3">
      <c r="A88" s="3" t="s">
        <v>47</v>
      </c>
      <c r="B88" s="3">
        <v>56</v>
      </c>
      <c r="C88" s="3" t="str">
        <f>IF(AND(B88&gt;=0,B88&lt;40),"Fail",IF(AND(B88&gt;40,B88&lt;60),"Pass",IF(AND(B88&gt;60,B88&lt;100),"Distinction","Invalid")))</f>
        <v>Pass</v>
      </c>
    </row>
    <row r="89" spans="1:3" x14ac:dyDescent="0.3">
      <c r="A89" s="3" t="s">
        <v>48</v>
      </c>
      <c r="B89" s="3">
        <v>98</v>
      </c>
      <c r="C89" s="3" t="str">
        <f t="shared" ref="C89:C92" si="12">IF(AND(B89&gt;=0,B89&lt;40),"Fail",IF(AND(B89&gt;40,B89&lt;60),"Pass",IF(AND(B89&gt;60,B89&lt;100),"Distinction","Invalid")))</f>
        <v>Distinction</v>
      </c>
    </row>
    <row r="90" spans="1:3" x14ac:dyDescent="0.3">
      <c r="A90" s="3" t="s">
        <v>21</v>
      </c>
      <c r="B90" s="3">
        <v>45</v>
      </c>
      <c r="C90" s="3" t="str">
        <f t="shared" si="12"/>
        <v>Pass</v>
      </c>
    </row>
    <row r="91" spans="1:3" x14ac:dyDescent="0.3">
      <c r="A91" s="3" t="s">
        <v>49</v>
      </c>
      <c r="B91" s="3">
        <v>-32</v>
      </c>
      <c r="C91" s="3" t="str">
        <f t="shared" si="12"/>
        <v>Invalid</v>
      </c>
    </row>
    <row r="92" spans="1:3" x14ac:dyDescent="0.3">
      <c r="A92" s="3" t="s">
        <v>20</v>
      </c>
      <c r="B92" s="3">
        <v>168</v>
      </c>
      <c r="C92" s="3" t="str">
        <f t="shared" si="12"/>
        <v>Invalid</v>
      </c>
    </row>
    <row r="95" spans="1:3" x14ac:dyDescent="0.3">
      <c r="A95" s="1" t="s">
        <v>51</v>
      </c>
    </row>
    <row r="97" spans="1:6" x14ac:dyDescent="0.3">
      <c r="A97" s="5" t="s">
        <v>1</v>
      </c>
      <c r="B97" s="5" t="s">
        <v>52</v>
      </c>
      <c r="C97" s="5" t="s">
        <v>53</v>
      </c>
      <c r="D97" s="5" t="s">
        <v>54</v>
      </c>
      <c r="E97" s="5" t="s">
        <v>55</v>
      </c>
      <c r="F97" s="5" t="s">
        <v>56</v>
      </c>
    </row>
    <row r="98" spans="1:6" x14ac:dyDescent="0.3">
      <c r="A98" s="3" t="s">
        <v>58</v>
      </c>
      <c r="B98" s="3" t="str">
        <f>TRIM(A98)</f>
        <v>Hitesh</v>
      </c>
      <c r="C98" s="3" t="str">
        <f>UPPER(B98)</f>
        <v>HITESH</v>
      </c>
      <c r="D98" s="3" t="str">
        <f>LOWER(A98)</f>
        <v xml:space="preserve">               hitesh</v>
      </c>
      <c r="E98" s="3" t="str">
        <f>PROPER(A98)</f>
        <v xml:space="preserve">               Hitesh</v>
      </c>
      <c r="F98" s="3">
        <f>LEN(A98)</f>
        <v>21</v>
      </c>
    </row>
    <row r="99" spans="1:6" x14ac:dyDescent="0.3">
      <c r="A99" s="3" t="s">
        <v>59</v>
      </c>
      <c r="B99" s="3" t="str">
        <f t="shared" ref="B99:B102" si="13">TRIM(A99)</f>
        <v>Dinesh roy</v>
      </c>
      <c r="C99" s="3" t="str">
        <f t="shared" ref="C99:C102" si="14">UPPER(B99)</f>
        <v>DINESH ROY</v>
      </c>
      <c r="D99" s="3" t="str">
        <f t="shared" ref="D99:D102" si="15">LOWER(A99)</f>
        <v>dinesh    roy</v>
      </c>
      <c r="E99" s="3" t="str">
        <f t="shared" ref="E99:E102" si="16">PROPER(A99)</f>
        <v>Dinesh    Roy</v>
      </c>
      <c r="F99" s="3">
        <f t="shared" ref="F99:F102" si="17">LEN(A99)</f>
        <v>13</v>
      </c>
    </row>
    <row r="100" spans="1:6" x14ac:dyDescent="0.3">
      <c r="A100" s="3" t="s">
        <v>57</v>
      </c>
      <c r="B100" s="3" t="str">
        <f t="shared" si="13"/>
        <v>RIYA</v>
      </c>
      <c r="C100" s="3" t="str">
        <f t="shared" si="14"/>
        <v>RIYA</v>
      </c>
      <c r="D100" s="3" t="str">
        <f t="shared" si="15"/>
        <v>riya</v>
      </c>
      <c r="E100" s="3" t="str">
        <f t="shared" si="16"/>
        <v>Riya</v>
      </c>
      <c r="F100" s="3">
        <f t="shared" si="17"/>
        <v>4</v>
      </c>
    </row>
    <row r="101" spans="1:6" x14ac:dyDescent="0.3">
      <c r="A101" s="3" t="s">
        <v>49</v>
      </c>
      <c r="B101" s="3" t="str">
        <f t="shared" si="13"/>
        <v>Priya</v>
      </c>
      <c r="C101" s="3" t="str">
        <f t="shared" si="14"/>
        <v>PRIYA</v>
      </c>
      <c r="D101" s="3" t="str">
        <f t="shared" si="15"/>
        <v>priya</v>
      </c>
      <c r="E101" s="3" t="str">
        <f t="shared" si="16"/>
        <v>Priya</v>
      </c>
      <c r="F101" s="3">
        <f t="shared" si="17"/>
        <v>5</v>
      </c>
    </row>
    <row r="102" spans="1:6" x14ac:dyDescent="0.3">
      <c r="A102" s="3" t="s">
        <v>20</v>
      </c>
      <c r="B102" s="3" t="str">
        <f t="shared" si="13"/>
        <v>Akash</v>
      </c>
      <c r="C102" s="3" t="str">
        <f t="shared" si="14"/>
        <v>AKASH</v>
      </c>
      <c r="D102" s="3" t="str">
        <f t="shared" si="15"/>
        <v>akash</v>
      </c>
      <c r="E102" s="3" t="str">
        <f t="shared" si="16"/>
        <v>Akash</v>
      </c>
      <c r="F102" s="3">
        <f t="shared" si="17"/>
        <v>5</v>
      </c>
    </row>
    <row r="107" spans="1:6" x14ac:dyDescent="0.3">
      <c r="A107" s="5" t="s">
        <v>1</v>
      </c>
      <c r="B107" s="5" t="s">
        <v>60</v>
      </c>
      <c r="C107" s="5" t="s">
        <v>61</v>
      </c>
      <c r="D107" s="5" t="s">
        <v>62</v>
      </c>
      <c r="E107" s="5" t="s">
        <v>63</v>
      </c>
    </row>
    <row r="108" spans="1:6" x14ac:dyDescent="0.3">
      <c r="A108" s="3" t="s">
        <v>58</v>
      </c>
      <c r="B108" s="3" t="str">
        <f>LEFT(A108)</f>
        <v xml:space="preserve"> </v>
      </c>
      <c r="C108" s="3" t="str">
        <f>LEFT(A108,4)</f>
        <v xml:space="preserve">    </v>
      </c>
      <c r="D108" s="3" t="str">
        <f>RIGHT(A108)</f>
        <v>h</v>
      </c>
      <c r="E108" s="3" t="str">
        <f>MID(A108,2,3)</f>
        <v xml:space="preserve">   </v>
      </c>
    </row>
    <row r="109" spans="1:6" x14ac:dyDescent="0.3">
      <c r="A109" s="3" t="s">
        <v>59</v>
      </c>
      <c r="B109" s="3" t="str">
        <f t="shared" ref="B109:B112" si="18">LEFT(A109)</f>
        <v>D</v>
      </c>
      <c r="C109" s="3" t="str">
        <f t="shared" ref="C109:C112" si="19">LEFT(A109,4)</f>
        <v>Dine</v>
      </c>
      <c r="D109" s="3" t="str">
        <f t="shared" ref="D109:D112" si="20">RIGHT(A109)</f>
        <v>y</v>
      </c>
      <c r="E109" s="3" t="str">
        <f t="shared" ref="E109:E113" si="21">MID(A109,2,3)</f>
        <v>ine</v>
      </c>
    </row>
    <row r="110" spans="1:6" x14ac:dyDescent="0.3">
      <c r="A110" s="3" t="s">
        <v>57</v>
      </c>
      <c r="B110" s="3" t="str">
        <f t="shared" si="18"/>
        <v>R</v>
      </c>
      <c r="C110" s="3" t="str">
        <f t="shared" si="19"/>
        <v>RIYA</v>
      </c>
      <c r="D110" s="3" t="str">
        <f t="shared" si="20"/>
        <v>A</v>
      </c>
      <c r="E110" s="3" t="str">
        <f t="shared" si="21"/>
        <v>IYA</v>
      </c>
    </row>
    <row r="111" spans="1:6" x14ac:dyDescent="0.3">
      <c r="A111" s="3" t="s">
        <v>64</v>
      </c>
      <c r="B111" s="3" t="str">
        <f t="shared" si="18"/>
        <v xml:space="preserve"> </v>
      </c>
      <c r="C111" s="3" t="str">
        <f t="shared" si="19"/>
        <v xml:space="preserve">  Pr</v>
      </c>
      <c r="D111" s="3" t="str">
        <f t="shared" si="20"/>
        <v>a</v>
      </c>
      <c r="E111" s="3" t="str">
        <f t="shared" si="21"/>
        <v xml:space="preserve"> Pr</v>
      </c>
    </row>
    <row r="112" spans="1:6" x14ac:dyDescent="0.3">
      <c r="A112" s="3" t="s">
        <v>20</v>
      </c>
      <c r="B112" s="3" t="str">
        <f t="shared" si="18"/>
        <v>A</v>
      </c>
      <c r="C112" s="3" t="str">
        <f t="shared" si="19"/>
        <v>Akas</v>
      </c>
      <c r="D112" s="3" t="str">
        <f t="shared" si="20"/>
        <v>h</v>
      </c>
      <c r="E112" s="3" t="str">
        <f t="shared" si="21"/>
        <v>kas</v>
      </c>
    </row>
    <row r="113" spans="1:5" x14ac:dyDescent="0.3">
      <c r="E113" s="3" t="str">
        <f t="shared" si="21"/>
        <v/>
      </c>
    </row>
    <row r="115" spans="1:5" x14ac:dyDescent="0.3">
      <c r="A115" s="1" t="s">
        <v>71</v>
      </c>
    </row>
    <row r="116" spans="1:5" x14ac:dyDescent="0.3">
      <c r="C116" s="2" t="s">
        <v>72</v>
      </c>
      <c r="D116" s="2" t="s">
        <v>73</v>
      </c>
    </row>
    <row r="117" spans="1:5" x14ac:dyDescent="0.3">
      <c r="A117" s="5" t="s">
        <v>1</v>
      </c>
      <c r="B117" s="2" t="s">
        <v>65</v>
      </c>
      <c r="C117" s="2" t="s">
        <v>66</v>
      </c>
    </row>
    <row r="118" spans="1:5" x14ac:dyDescent="0.3">
      <c r="A118" s="3" t="s">
        <v>47</v>
      </c>
      <c r="B118" s="2" t="s">
        <v>67</v>
      </c>
      <c r="C118" s="2" t="str">
        <f>_xlfn.CONCAT(A118," ",B118)</f>
        <v>Hitesh Roy</v>
      </c>
    </row>
    <row r="119" spans="1:5" x14ac:dyDescent="0.3">
      <c r="A119" s="3" t="s">
        <v>48</v>
      </c>
      <c r="B119" s="2" t="s">
        <v>68</v>
      </c>
      <c r="C119" s="2" t="str">
        <f t="shared" ref="C119:C122" si="22">_xlfn.CONCAT(A119," ",B119)</f>
        <v>Dinesh Paul</v>
      </c>
    </row>
    <row r="120" spans="1:5" x14ac:dyDescent="0.3">
      <c r="A120" s="3" t="s">
        <v>21</v>
      </c>
      <c r="B120" s="2" t="s">
        <v>69</v>
      </c>
      <c r="C120" s="2" t="str">
        <f t="shared" si="22"/>
        <v>Riya Das</v>
      </c>
    </row>
    <row r="121" spans="1:5" x14ac:dyDescent="0.3">
      <c r="A121" s="3" t="s">
        <v>49</v>
      </c>
      <c r="B121" s="2" t="s">
        <v>70</v>
      </c>
      <c r="C121" s="2" t="str">
        <f t="shared" si="22"/>
        <v>Priya Biswas</v>
      </c>
    </row>
    <row r="122" spans="1:5" x14ac:dyDescent="0.3">
      <c r="A122" s="3" t="s">
        <v>20</v>
      </c>
      <c r="B122" s="2" t="s">
        <v>67</v>
      </c>
      <c r="C122" s="2" t="str">
        <f t="shared" si="22"/>
        <v>Akash Roy</v>
      </c>
    </row>
    <row r="126" spans="1:5" x14ac:dyDescent="0.3">
      <c r="A126" s="1" t="s">
        <v>74</v>
      </c>
      <c r="B126" s="2" t="s">
        <v>76</v>
      </c>
    </row>
    <row r="127" spans="1:5" x14ac:dyDescent="0.3">
      <c r="B127" s="2" t="s">
        <v>75</v>
      </c>
    </row>
    <row r="128" spans="1:5" x14ac:dyDescent="0.3">
      <c r="A128" s="5" t="s">
        <v>1</v>
      </c>
      <c r="B128" s="2" t="s">
        <v>45</v>
      </c>
      <c r="C128" s="1" t="s">
        <v>77</v>
      </c>
      <c r="D128" s="1" t="s">
        <v>78</v>
      </c>
      <c r="E128" s="1" t="s">
        <v>79</v>
      </c>
    </row>
    <row r="129" spans="1:5" x14ac:dyDescent="0.3">
      <c r="A129" s="3" t="s">
        <v>47</v>
      </c>
      <c r="B129" s="2">
        <v>56</v>
      </c>
      <c r="C129" s="2">
        <f>COUNT(B129:B133)</f>
        <v>5</v>
      </c>
      <c r="D129" s="2">
        <f>COUNTA(A129:A133)</f>
        <v>4</v>
      </c>
      <c r="E129" s="2">
        <f>COUNTBLANK(A129:A133)</f>
        <v>1</v>
      </c>
    </row>
    <row r="130" spans="1:5" x14ac:dyDescent="0.3">
      <c r="A130" s="3" t="s">
        <v>48</v>
      </c>
      <c r="B130" s="2">
        <v>98</v>
      </c>
      <c r="C130" s="2">
        <f t="shared" ref="C130:C133" si="23">COUNT(B130:B134)</f>
        <v>4</v>
      </c>
      <c r="D130" s="2">
        <f t="shared" ref="D130:D133" si="24">COUNTA(A130:A134)</f>
        <v>3</v>
      </c>
    </row>
    <row r="131" spans="1:5" x14ac:dyDescent="0.3">
      <c r="A131" s="3"/>
      <c r="B131" s="2">
        <v>45</v>
      </c>
      <c r="C131" s="2">
        <f t="shared" si="23"/>
        <v>3</v>
      </c>
      <c r="D131" s="2">
        <f t="shared" si="24"/>
        <v>2</v>
      </c>
    </row>
    <row r="132" spans="1:5" x14ac:dyDescent="0.3">
      <c r="A132" s="3" t="s">
        <v>49</v>
      </c>
      <c r="B132" s="2">
        <v>32</v>
      </c>
      <c r="C132" s="2">
        <f t="shared" si="23"/>
        <v>2</v>
      </c>
      <c r="D132" s="2">
        <f t="shared" si="24"/>
        <v>2</v>
      </c>
    </row>
    <row r="133" spans="1:5" x14ac:dyDescent="0.3">
      <c r="A133" s="3" t="s">
        <v>20</v>
      </c>
      <c r="B133" s="2">
        <v>68</v>
      </c>
      <c r="C133" s="2">
        <f t="shared" si="23"/>
        <v>1</v>
      </c>
      <c r="D133" s="2">
        <f t="shared" si="24"/>
        <v>1</v>
      </c>
    </row>
    <row r="139" spans="1:5" x14ac:dyDescent="0.3">
      <c r="A139" s="2" t="s">
        <v>80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D67D-2305-4595-BB77-DAFBD769E166}">
  <dimension ref="A1:E91"/>
  <sheetViews>
    <sheetView tabSelected="1" topLeftCell="A68" workbookViewId="0">
      <selection activeCell="M85" sqref="M85"/>
    </sheetView>
  </sheetViews>
  <sheetFormatPr defaultRowHeight="14.4" x14ac:dyDescent="0.3"/>
  <sheetData>
    <row r="1" spans="1:5" x14ac:dyDescent="0.3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</row>
    <row r="2" spans="1:5" x14ac:dyDescent="0.3">
      <c r="A2" s="3">
        <v>101</v>
      </c>
      <c r="B2" s="3" t="s">
        <v>86</v>
      </c>
      <c r="C2" s="3">
        <v>120</v>
      </c>
      <c r="D2" s="3">
        <v>150</v>
      </c>
      <c r="E2" s="3" t="s">
        <v>87</v>
      </c>
    </row>
    <row r="3" spans="1:5" x14ac:dyDescent="0.3">
      <c r="A3" s="3">
        <v>102</v>
      </c>
      <c r="B3" s="3" t="s">
        <v>88</v>
      </c>
      <c r="C3" s="3">
        <v>150</v>
      </c>
      <c r="D3" s="3">
        <v>140</v>
      </c>
      <c r="E3" s="3" t="s">
        <v>89</v>
      </c>
    </row>
    <row r="4" spans="1:5" x14ac:dyDescent="0.3">
      <c r="A4" s="3">
        <v>103</v>
      </c>
      <c r="B4" s="3" t="s">
        <v>90</v>
      </c>
      <c r="C4" s="3">
        <v>200</v>
      </c>
      <c r="D4" s="3">
        <v>200</v>
      </c>
      <c r="E4" s="3" t="s">
        <v>91</v>
      </c>
    </row>
    <row r="5" spans="1:5" x14ac:dyDescent="0.3">
      <c r="A5" s="3">
        <v>104</v>
      </c>
      <c r="B5" s="3" t="s">
        <v>92</v>
      </c>
      <c r="C5" s="3">
        <v>90</v>
      </c>
      <c r="D5" s="3">
        <v>100</v>
      </c>
      <c r="E5" s="3" t="s">
        <v>93</v>
      </c>
    </row>
    <row r="6" spans="1:5" x14ac:dyDescent="0.3">
      <c r="A6" s="3">
        <v>105</v>
      </c>
      <c r="B6" s="3" t="s">
        <v>94</v>
      </c>
      <c r="C6" s="3">
        <v>220</v>
      </c>
      <c r="D6" s="3">
        <v>210</v>
      </c>
      <c r="E6" s="3" t="s">
        <v>87</v>
      </c>
    </row>
    <row r="7" spans="1:5" x14ac:dyDescent="0.3">
      <c r="A7" s="3">
        <v>106</v>
      </c>
      <c r="B7" s="3" t="s">
        <v>95</v>
      </c>
      <c r="C7" s="3">
        <v>130</v>
      </c>
      <c r="D7" s="3">
        <v>160</v>
      </c>
      <c r="E7" s="3" t="s">
        <v>89</v>
      </c>
    </row>
    <row r="9" spans="1:5" s="8" customFormat="1" x14ac:dyDescent="0.3">
      <c r="A9" s="8" t="s">
        <v>96</v>
      </c>
    </row>
    <row r="10" spans="1:5" x14ac:dyDescent="0.3">
      <c r="A10" t="str">
        <f>IF(C2&lt;=D2,"Met Target","Not met Target")</f>
        <v>Met Target</v>
      </c>
    </row>
    <row r="11" spans="1:5" x14ac:dyDescent="0.3">
      <c r="A11" t="str">
        <f t="shared" ref="A11:A15" si="0">IF(C3&lt;=D3,"Met Target","Not met Target")</f>
        <v>Not met Target</v>
      </c>
    </row>
    <row r="12" spans="1:5" x14ac:dyDescent="0.3">
      <c r="A12" t="str">
        <f t="shared" si="0"/>
        <v>Met Target</v>
      </c>
    </row>
    <row r="13" spans="1:5" x14ac:dyDescent="0.3">
      <c r="A13" t="str">
        <f t="shared" si="0"/>
        <v>Met Target</v>
      </c>
    </row>
    <row r="14" spans="1:5" x14ac:dyDescent="0.3">
      <c r="A14" t="str">
        <f t="shared" si="0"/>
        <v>Not met Target</v>
      </c>
    </row>
    <row r="15" spans="1:5" x14ac:dyDescent="0.3">
      <c r="A15" t="str">
        <f t="shared" si="0"/>
        <v>Met Target</v>
      </c>
    </row>
    <row r="17" spans="1:1" x14ac:dyDescent="0.3">
      <c r="A17" s="8" t="s">
        <v>97</v>
      </c>
    </row>
    <row r="18" spans="1:1" x14ac:dyDescent="0.3">
      <c r="A18" t="str">
        <f>IF(AND(E2="North",C2&gt;200),"Eligible","Not eligible")</f>
        <v>Not eligible</v>
      </c>
    </row>
    <row r="19" spans="1:1" x14ac:dyDescent="0.3">
      <c r="A19" t="str">
        <f t="shared" ref="A19:A23" si="1">IF(AND(E3="North",C3&gt;200),"Eligible","Not eligible")</f>
        <v>Not eligible</v>
      </c>
    </row>
    <row r="20" spans="1:1" x14ac:dyDescent="0.3">
      <c r="A20" t="str">
        <f t="shared" si="1"/>
        <v>Not eligible</v>
      </c>
    </row>
    <row r="21" spans="1:1" x14ac:dyDescent="0.3">
      <c r="A21" t="str">
        <f>IF(AND(E5="North",C5&gt;200),"Eligible","Not eligible")</f>
        <v>Not eligible</v>
      </c>
    </row>
    <row r="22" spans="1:1" x14ac:dyDescent="0.3">
      <c r="A22" t="str">
        <f t="shared" si="1"/>
        <v>Eligible</v>
      </c>
    </row>
    <row r="23" spans="1:1" x14ac:dyDescent="0.3">
      <c r="A23" t="str">
        <f t="shared" si="1"/>
        <v>Not eligible</v>
      </c>
    </row>
    <row r="25" spans="1:1" s="9" customFormat="1" x14ac:dyDescent="0.3">
      <c r="A25" s="9" t="s">
        <v>98</v>
      </c>
    </row>
    <row r="26" spans="1:1" x14ac:dyDescent="0.3">
      <c r="A26" s="8" t="s">
        <v>99</v>
      </c>
    </row>
    <row r="27" spans="1:1" x14ac:dyDescent="0.3">
      <c r="A27" s="8" t="s">
        <v>100</v>
      </c>
    </row>
    <row r="28" spans="1:1" x14ac:dyDescent="0.3">
      <c r="A28" s="8" t="s">
        <v>101</v>
      </c>
    </row>
    <row r="30" spans="1:1" x14ac:dyDescent="0.3">
      <c r="A30" t="str">
        <f>IF(C2&gt;=200,"10% Commission",IF(C2&gt;=150,"7% Commission","5% Commision"))</f>
        <v>5% Commision</v>
      </c>
    </row>
    <row r="31" spans="1:1" x14ac:dyDescent="0.3">
      <c r="A31" t="str">
        <f t="shared" ref="A31:A35" si="2">IF(C3&gt;=200,"10% Commission",IF(C3&gt;=150,"7% Commission","5% Commision"))</f>
        <v>7% Commission</v>
      </c>
    </row>
    <row r="32" spans="1:1" x14ac:dyDescent="0.3">
      <c r="A32" t="str">
        <f t="shared" si="2"/>
        <v>10% Commission</v>
      </c>
    </row>
    <row r="33" spans="1:1" x14ac:dyDescent="0.3">
      <c r="A33" t="str">
        <f t="shared" si="2"/>
        <v>5% Commision</v>
      </c>
    </row>
    <row r="34" spans="1:1" x14ac:dyDescent="0.3">
      <c r="A34" t="str">
        <f t="shared" si="2"/>
        <v>10% Commission</v>
      </c>
    </row>
    <row r="35" spans="1:1" x14ac:dyDescent="0.3">
      <c r="A35" t="str">
        <f t="shared" si="2"/>
        <v>5% Commision</v>
      </c>
    </row>
    <row r="37" spans="1:1" x14ac:dyDescent="0.3">
      <c r="A37" s="10" t="s">
        <v>102</v>
      </c>
    </row>
    <row r="38" spans="1:1" x14ac:dyDescent="0.3">
      <c r="A38" s="8" t="s">
        <v>103</v>
      </c>
    </row>
    <row r="39" spans="1:1" x14ac:dyDescent="0.3">
      <c r="A39" s="8" t="s">
        <v>104</v>
      </c>
    </row>
    <row r="41" spans="1:1" x14ac:dyDescent="0.3">
      <c r="A41">
        <f>IF(C2&gt;=D2, C2*0.1, C2*0.05)</f>
        <v>6</v>
      </c>
    </row>
    <row r="42" spans="1:1" x14ac:dyDescent="0.3">
      <c r="A42">
        <f t="shared" ref="A42:A46" si="3">IF(C3&gt;=D3, C3*0.1, C3*0.05)</f>
        <v>15</v>
      </c>
    </row>
    <row r="43" spans="1:1" x14ac:dyDescent="0.3">
      <c r="A43">
        <f t="shared" si="3"/>
        <v>20</v>
      </c>
    </row>
    <row r="44" spans="1:1" x14ac:dyDescent="0.3">
      <c r="A44">
        <f t="shared" si="3"/>
        <v>4.5</v>
      </c>
    </row>
    <row r="45" spans="1:1" x14ac:dyDescent="0.3">
      <c r="A45">
        <f t="shared" si="3"/>
        <v>22</v>
      </c>
    </row>
    <row r="46" spans="1:1" x14ac:dyDescent="0.3">
      <c r="A46">
        <f t="shared" si="3"/>
        <v>6.5</v>
      </c>
    </row>
    <row r="48" spans="1:1" s="12" customFormat="1" x14ac:dyDescent="0.3">
      <c r="A48" s="12" t="s">
        <v>105</v>
      </c>
    </row>
    <row r="49" spans="1:1" x14ac:dyDescent="0.3">
      <c r="A49" s="13" t="s">
        <v>106</v>
      </c>
    </row>
    <row r="50" spans="1:1" x14ac:dyDescent="0.3">
      <c r="A50" s="13" t="s">
        <v>107</v>
      </c>
    </row>
    <row r="51" spans="1:1" x14ac:dyDescent="0.3">
      <c r="A51" s="13" t="s">
        <v>108</v>
      </c>
    </row>
    <row r="53" spans="1:1" x14ac:dyDescent="0.3">
      <c r="A53" s="11"/>
    </row>
    <row r="54" spans="1:1" x14ac:dyDescent="0.3">
      <c r="A54" s="11" t="str">
        <f>IF(C2&gt;=200, "Excellent", IF(C2&gt;150, "Good", "Needs Improvement"))</f>
        <v>Needs Improvement</v>
      </c>
    </row>
    <row r="55" spans="1:1" x14ac:dyDescent="0.3">
      <c r="A55" s="11" t="str">
        <f t="shared" ref="A55:A58" si="4">IF(C3&gt;=200, "Excellent", IF(C3&gt;150, "Good", "Needs Improvement"))</f>
        <v>Needs Improvement</v>
      </c>
    </row>
    <row r="56" spans="1:1" x14ac:dyDescent="0.3">
      <c r="A56" s="11" t="str">
        <f t="shared" si="4"/>
        <v>Excellent</v>
      </c>
    </row>
    <row r="57" spans="1:1" x14ac:dyDescent="0.3">
      <c r="A57" s="11" t="str">
        <f t="shared" si="4"/>
        <v>Needs Improvement</v>
      </c>
    </row>
    <row r="58" spans="1:1" x14ac:dyDescent="0.3">
      <c r="A58" s="11" t="str">
        <f t="shared" si="4"/>
        <v>Excellent</v>
      </c>
    </row>
    <row r="59" spans="1:1" x14ac:dyDescent="0.3">
      <c r="A59" s="11" t="str">
        <f>IF(C7&gt;=200, "Excellent", IF(C7&gt;150, "Good", "Needs Improvement"))</f>
        <v>Needs Improvement</v>
      </c>
    </row>
    <row r="63" spans="1:1" x14ac:dyDescent="0.3">
      <c r="A63" s="8" t="s">
        <v>109</v>
      </c>
    </row>
    <row r="64" spans="1:1" x14ac:dyDescent="0.3">
      <c r="A64" s="8" t="s">
        <v>110</v>
      </c>
    </row>
    <row r="65" spans="1:1" x14ac:dyDescent="0.3">
      <c r="A65" s="8" t="s">
        <v>111</v>
      </c>
    </row>
    <row r="66" spans="1:1" x14ac:dyDescent="0.3">
      <c r="A66" s="8" t="s">
        <v>112</v>
      </c>
    </row>
    <row r="69" spans="1:1" x14ac:dyDescent="0.3">
      <c r="A69" s="11" t="str">
        <f>IF(C2&gt;=200, "High", IF(C2&gt;=100, "Medium", "Low"))</f>
        <v>Medium</v>
      </c>
    </row>
    <row r="70" spans="1:1" x14ac:dyDescent="0.3">
      <c r="A70" s="11" t="str">
        <f t="shared" ref="A70:A74" si="5">IF(C3&gt;=200, "High", IF(C3&gt;=100, "Medium", "Low"))</f>
        <v>Medium</v>
      </c>
    </row>
    <row r="71" spans="1:1" x14ac:dyDescent="0.3">
      <c r="A71" s="11" t="str">
        <f t="shared" si="5"/>
        <v>High</v>
      </c>
    </row>
    <row r="72" spans="1:1" x14ac:dyDescent="0.3">
      <c r="A72" s="11" t="str">
        <f t="shared" si="5"/>
        <v>Low</v>
      </c>
    </row>
    <row r="73" spans="1:1" x14ac:dyDescent="0.3">
      <c r="A73" s="11" t="str">
        <f t="shared" si="5"/>
        <v>High</v>
      </c>
    </row>
    <row r="74" spans="1:1" x14ac:dyDescent="0.3">
      <c r="A74" s="11" t="str">
        <f t="shared" si="5"/>
        <v>Medium</v>
      </c>
    </row>
    <row r="76" spans="1:1" x14ac:dyDescent="0.3">
      <c r="A76" s="8" t="s">
        <v>113</v>
      </c>
    </row>
    <row r="77" spans="1:1" x14ac:dyDescent="0.3">
      <c r="A77" s="11">
        <f>IF(AND(C2&gt;=150, E2="North"), 500, 300)</f>
        <v>300</v>
      </c>
    </row>
    <row r="78" spans="1:1" x14ac:dyDescent="0.3">
      <c r="A78" s="11">
        <f t="shared" ref="A78:A82" si="6">IF(AND(C3&gt;=150, E3="North"), 500, 300)</f>
        <v>300</v>
      </c>
    </row>
    <row r="79" spans="1:1" x14ac:dyDescent="0.3">
      <c r="A79" s="11">
        <f t="shared" si="6"/>
        <v>300</v>
      </c>
    </row>
    <row r="80" spans="1:1" x14ac:dyDescent="0.3">
      <c r="A80" s="11">
        <f t="shared" si="6"/>
        <v>300</v>
      </c>
    </row>
    <row r="81" spans="1:1" x14ac:dyDescent="0.3">
      <c r="A81" s="11">
        <f>IF(AND(C6&gt;=150, E6="North"), 500, 300)</f>
        <v>500</v>
      </c>
    </row>
    <row r="82" spans="1:1" x14ac:dyDescent="0.3">
      <c r="A82" s="11">
        <f t="shared" si="6"/>
        <v>300</v>
      </c>
    </row>
    <row r="84" spans="1:1" x14ac:dyDescent="0.3">
      <c r="A84" s="8" t="s">
        <v>114</v>
      </c>
    </row>
    <row r="86" spans="1:1" x14ac:dyDescent="0.3">
      <c r="A86" s="11">
        <f>PERCENTILE(C2:C7,0.75)</f>
        <v>187.5</v>
      </c>
    </row>
    <row r="87" spans="1:1" x14ac:dyDescent="0.3">
      <c r="A87" s="11">
        <f t="shared" ref="A87:A90" si="7">PERCENTILE(C3:C8,0.75)</f>
        <v>200</v>
      </c>
    </row>
    <row r="88" spans="1:1" x14ac:dyDescent="0.3">
      <c r="A88" s="11">
        <f t="shared" si="7"/>
        <v>205</v>
      </c>
    </row>
    <row r="89" spans="1:1" x14ac:dyDescent="0.3">
      <c r="A89" s="11">
        <f t="shared" si="7"/>
        <v>175</v>
      </c>
    </row>
    <row r="90" spans="1:1" x14ac:dyDescent="0.3">
      <c r="A90" s="11">
        <f t="shared" si="7"/>
        <v>197.5</v>
      </c>
    </row>
    <row r="91" spans="1:1" x14ac:dyDescent="0.3">
      <c r="A91" s="11">
        <f>PERCENTILE(C7:C12,0.75)</f>
        <v>130</v>
      </c>
    </row>
  </sheetData>
  <mergeCells count="2">
    <mergeCell ref="A25:XFD25"/>
    <mergeCell ref="A48:XF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Assignment_1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Das</dc:creator>
  <cp:lastModifiedBy>Payal Das</cp:lastModifiedBy>
  <dcterms:created xsi:type="dcterms:W3CDTF">2025-11-20T18:35:23Z</dcterms:created>
  <dcterms:modified xsi:type="dcterms:W3CDTF">2025-11-23T21:09:03Z</dcterms:modified>
</cp:coreProperties>
</file>