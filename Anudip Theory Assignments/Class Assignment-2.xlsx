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ernal\Anudip\"/>
    </mc:Choice>
  </mc:AlternateContent>
  <xr:revisionPtr revIDLastSave="0" documentId="13_ncr:1_{C4FCCEA1-8FF0-4E56-AB91-DFB637F4171D}" xr6:coauthVersionLast="47" xr6:coauthVersionMax="47" xr10:uidLastSave="{00000000-0000-0000-0000-000000000000}"/>
  <bookViews>
    <workbookView xWindow="-108" yWindow="-108" windowWidth="23256" windowHeight="12456" xr2:uid="{0C86ACED-42E7-4289-8461-BA0084D35963}"/>
  </bookViews>
  <sheets>
    <sheet name="VLOOKUP_INDEX &amp; MATC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8" i="1" l="1"/>
  <c r="U24" i="1"/>
  <c r="T24" i="1"/>
  <c r="N24" i="1"/>
  <c r="U23" i="1"/>
  <c r="T23" i="1"/>
  <c r="N20" i="1"/>
  <c r="T18" i="1"/>
  <c r="T17" i="1"/>
  <c r="U14" i="1"/>
  <c r="T9" i="1"/>
  <c r="T6" i="1"/>
  <c r="T4" i="1"/>
</calcChain>
</file>

<file path=xl/sharedStrings.xml><?xml version="1.0" encoding="utf-8"?>
<sst xmlns="http://schemas.openxmlformats.org/spreadsheetml/2006/main" count="655" uniqueCount="158">
  <si>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</si>
  <si>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</si>
  <si>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</si>
  <si>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</si>
  <si>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</si>
  <si>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</si>
  <si>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</si>
  <si>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</si>
  <si>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</si>
  <si>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</si>
  <si>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</si>
  <si>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</si>
  <si>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INDEX &amp; MATCH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</si>
  <si>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</si>
  <si>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</si>
  <si>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</si>
  <si>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</si>
  <si>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</si>
  <si>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</si>
  <si>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</si>
  <si>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</si>
  <si>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</si>
  <si>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</si>
  <si>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</si>
  <si>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</si>
  <si>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Serial no</t>
  </si>
  <si>
    <t>orderid</t>
  </si>
  <si>
    <t>ORD-1002</t>
  </si>
  <si>
    <t>Furniture</t>
  </si>
  <si>
    <t>Bookcases</t>
  </si>
  <si>
    <t>INDEX</t>
  </si>
  <si>
    <t>ORD-1003</t>
  </si>
  <si>
    <t>Simran</t>
  </si>
  <si>
    <t>Paper</t>
  </si>
  <si>
    <t>Net Banking</t>
  </si>
  <si>
    <t>Row wise</t>
  </si>
  <si>
    <t>ORD-1004</t>
  </si>
  <si>
    <t>ORD-1005</t>
  </si>
  <si>
    <t>Sneha</t>
  </si>
  <si>
    <t>Credit Card</t>
  </si>
  <si>
    <t>ORD-1006</t>
  </si>
  <si>
    <t>Priya</t>
  </si>
  <si>
    <t>Value</t>
  </si>
  <si>
    <t>ORD-1007</t>
  </si>
  <si>
    <t>Raj</t>
  </si>
  <si>
    <t>West</t>
  </si>
  <si>
    <t>Binders</t>
  </si>
  <si>
    <t>ORD-1008</t>
  </si>
  <si>
    <t>North</t>
  </si>
  <si>
    <t>column</t>
  </si>
  <si>
    <t>ORD-1009</t>
  </si>
  <si>
    <t>Amit</t>
  </si>
  <si>
    <t>Printers</t>
  </si>
  <si>
    <t>ORD-1010</t>
  </si>
  <si>
    <t>ORD-1011</t>
  </si>
  <si>
    <t>Mobiles</t>
  </si>
  <si>
    <t>Row no</t>
  </si>
  <si>
    <t>col no</t>
  </si>
  <si>
    <t>ORD-1012</t>
  </si>
  <si>
    <t>ORD-1013</t>
  </si>
  <si>
    <t>Pooja</t>
  </si>
  <si>
    <t>Tables</t>
  </si>
  <si>
    <t>ORD-1014</t>
  </si>
  <si>
    <t>MATCH</t>
  </si>
  <si>
    <t>value</t>
  </si>
  <si>
    <t>position</t>
  </si>
  <si>
    <t>ORD-1015</t>
  </si>
  <si>
    <t>Chairs</t>
  </si>
  <si>
    <t>VLOOKUP</t>
  </si>
  <si>
    <t>ORD-1016</t>
  </si>
  <si>
    <t>ORD-1017</t>
  </si>
  <si>
    <t>total sales</t>
  </si>
  <si>
    <t>ORD-1018</t>
  </si>
  <si>
    <t>Neha</t>
  </si>
  <si>
    <t>ORD-1019</t>
  </si>
  <si>
    <t>find total sales</t>
  </si>
  <si>
    <t>ORD-1020</t>
  </si>
  <si>
    <t>ORD-1021</t>
  </si>
  <si>
    <t>INDEX+MATCH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</si>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</sst>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1" fillId="3" borderId="0" xfId="0" applyFont="1" applyFill="1"/>
    <xf numFmtId="0" fontId="1" fillId="0" borderId="0" xfId="0" applyFont="1"/>
    <xf numFmtId="0" fontId="0" fillId="0" borderId="0" xfId="0" applyAlignment="1">
      <alignment horizontal="center"/>
    </xf>
    <xf numFmtId="0" fontId="0" fillId="0" borderId="3" xfId="0" applyBorder="1"/>
    <xf numFmtId="0" fontId="1" fillId="0" borderId="3" xfId="0" applyFont="1" applyBorder="1"/>
    <xf numFmtId="14" fontId="0" fillId="0" borderId="3" xfId="0" applyNumberFormat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D6A5-D7FF-4DE1-ABC8-8BD17369A12F}">
  <dimension ref="A1:AB101"/>
  <sheetViews>
    <sheetView tabSelected="1" workbookViewId="0">
      <selection activeCell="F19" sqref="F19"/>
    </sheetView>
  </sheetViews>
  <sheetFormatPr defaultRowHeight="14.4" x14ac:dyDescent="0.3"/>
  <cols>
    <col min="1" max="1" width="9.33203125" bestFit="1" customWidth="1"/>
    <col min="2" max="2" width="10.33203125" bestFit="1" customWidth="1"/>
    <col min="3" max="3" width="14.33203125" bestFit="1" customWidth="1"/>
    <col min="4" max="4" width="6.5546875" bestFit="1" customWidth="1"/>
    <col min="5" max="5" width="13.109375" bestFit="1" customWidth="1"/>
    <col min="6" max="6" width="11.88671875" bestFit="1" customWidth="1"/>
    <col min="7" max="7" width="8" bestFit="1" customWidth="1"/>
    <col min="9" max="9" width="8.109375" bestFit="1" customWidth="1"/>
    <col min="10" max="10" width="9.77734375" bestFit="1" customWidth="1"/>
    <col min="11" max="11" width="8" bestFit="1" customWidth="1"/>
    <col min="12" max="12" width="13.44140625" bestFit="1" customWidth="1"/>
    <col min="14" max="14" width="10.33203125" bestFit="1" customWidth="1"/>
    <col min="16" max="16" width="10.33203125" bestFit="1" customWidth="1"/>
    <col min="17" max="17" width="14.33203125" bestFit="1" customWidth="1"/>
    <col min="18" max="18" width="13.77734375" bestFit="1" customWidth="1"/>
    <col min="19" max="19" width="14.33203125" bestFit="1" customWidth="1"/>
    <col min="20" max="20" width="9.88671875" bestFit="1" customWidth="1"/>
    <col min="21" max="21" width="8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S1" s="10" t="s">
        <v>12</v>
      </c>
      <c r="T1" s="10"/>
    </row>
    <row r="2" spans="1:21" x14ac:dyDescent="0.3">
      <c r="A2" t="s">
        <v>13</v>
      </c>
      <c r="B2" s="2">
        <v>45029</v>
      </c>
      <c r="C2" t="s">
        <v>14</v>
      </c>
      <c r="D2" t="s">
        <v>15</v>
      </c>
      <c r="E2" t="s">
        <v>16</v>
      </c>
      <c r="F2" t="s">
        <v>17</v>
      </c>
      <c r="G2">
        <v>3</v>
      </c>
      <c r="H2">
        <v>1443.03</v>
      </c>
      <c r="I2">
        <v>0.1</v>
      </c>
      <c r="J2">
        <v>3896.18</v>
      </c>
      <c r="K2">
        <v>964.48</v>
      </c>
      <c r="L2" t="s">
        <v>18</v>
      </c>
    </row>
    <row r="3" spans="1:21" x14ac:dyDescent="0.3">
      <c r="A3" t="s">
        <v>19</v>
      </c>
      <c r="B3" s="2">
        <v>45275</v>
      </c>
      <c r="C3" t="s">
        <v>20</v>
      </c>
      <c r="D3" t="s">
        <v>21</v>
      </c>
      <c r="E3" t="s">
        <v>22</v>
      </c>
      <c r="F3" t="s">
        <v>23</v>
      </c>
      <c r="G3">
        <v>7</v>
      </c>
      <c r="H3">
        <v>1715.07</v>
      </c>
      <c r="I3">
        <v>0.15</v>
      </c>
      <c r="J3">
        <v>10204.69</v>
      </c>
      <c r="K3">
        <v>1354.41</v>
      </c>
      <c r="L3" t="s">
        <v>24</v>
      </c>
      <c r="S3" s="3" t="s">
        <v>25</v>
      </c>
      <c r="T3" s="3" t="s">
        <v>26</v>
      </c>
    </row>
    <row r="4" spans="1:21" x14ac:dyDescent="0.3">
      <c r="A4" t="s">
        <v>27</v>
      </c>
      <c r="B4" s="2">
        <v>45197</v>
      </c>
      <c r="C4" t="s">
        <v>14</v>
      </c>
      <c r="D4" t="s">
        <v>21</v>
      </c>
      <c r="E4" t="s">
        <v>28</v>
      </c>
      <c r="F4" t="s">
        <v>29</v>
      </c>
      <c r="G4">
        <v>8</v>
      </c>
      <c r="H4">
        <v>621.97</v>
      </c>
      <c r="I4">
        <v>0.1</v>
      </c>
      <c r="J4">
        <v>4478.1899999999996</v>
      </c>
      <c r="K4">
        <v>752.58</v>
      </c>
      <c r="L4" t="s">
        <v>24</v>
      </c>
      <c r="R4" s="1" t="s">
        <v>30</v>
      </c>
      <c r="S4">
        <v>12</v>
      </c>
      <c r="T4" t="str">
        <f>INDEX(A:A,S4)</f>
        <v>ORD-1010</v>
      </c>
    </row>
    <row r="5" spans="1:21" x14ac:dyDescent="0.3">
      <c r="A5" t="s">
        <v>31</v>
      </c>
      <c r="B5" s="2">
        <v>45033</v>
      </c>
      <c r="C5" t="s">
        <v>32</v>
      </c>
      <c r="D5" t="s">
        <v>15</v>
      </c>
      <c r="E5" t="s">
        <v>16</v>
      </c>
      <c r="F5" t="s">
        <v>33</v>
      </c>
      <c r="G5">
        <v>5</v>
      </c>
      <c r="H5">
        <v>1166.43</v>
      </c>
      <c r="I5">
        <v>0.1</v>
      </c>
      <c r="J5">
        <v>5248.92</v>
      </c>
      <c r="K5">
        <v>948.39</v>
      </c>
      <c r="L5" t="s">
        <v>34</v>
      </c>
      <c r="S5" t="s">
        <v>35</v>
      </c>
    </row>
    <row r="6" spans="1:21" x14ac:dyDescent="0.3">
      <c r="A6" t="s">
        <v>36</v>
      </c>
      <c r="B6" s="2">
        <v>44998</v>
      </c>
      <c r="C6" t="s">
        <v>14</v>
      </c>
      <c r="D6" t="s">
        <v>21</v>
      </c>
      <c r="E6" t="s">
        <v>28</v>
      </c>
      <c r="F6" t="s">
        <v>29</v>
      </c>
      <c r="G6">
        <v>7</v>
      </c>
      <c r="H6">
        <v>1003.2</v>
      </c>
      <c r="I6">
        <v>0.2</v>
      </c>
      <c r="J6">
        <v>5617.94</v>
      </c>
      <c r="K6">
        <v>995.18</v>
      </c>
      <c r="L6" t="s">
        <v>18</v>
      </c>
      <c r="R6" s="1" t="s">
        <v>30</v>
      </c>
      <c r="S6">
        <v>12</v>
      </c>
      <c r="T6" t="str">
        <f>INDEX(A:A,S6)</f>
        <v>ORD-1010</v>
      </c>
    </row>
    <row r="7" spans="1:21" x14ac:dyDescent="0.3">
      <c r="A7" t="s">
        <v>37</v>
      </c>
      <c r="B7" s="2">
        <v>45115</v>
      </c>
      <c r="C7" t="s">
        <v>38</v>
      </c>
      <c r="D7" t="s">
        <v>15</v>
      </c>
      <c r="E7" t="s">
        <v>28</v>
      </c>
      <c r="F7" t="s">
        <v>29</v>
      </c>
      <c r="G7">
        <v>4</v>
      </c>
      <c r="H7">
        <v>1891.42</v>
      </c>
      <c r="I7">
        <v>0.1</v>
      </c>
      <c r="J7">
        <v>6809.12</v>
      </c>
      <c r="K7">
        <v>1523.17</v>
      </c>
      <c r="L7" t="s">
        <v>39</v>
      </c>
    </row>
    <row r="8" spans="1:21" x14ac:dyDescent="0.3">
      <c r="A8" t="s">
        <v>40</v>
      </c>
      <c r="B8" s="2">
        <v>44947</v>
      </c>
      <c r="C8" t="s">
        <v>41</v>
      </c>
      <c r="D8" t="s">
        <v>15</v>
      </c>
      <c r="E8" t="s">
        <v>22</v>
      </c>
      <c r="F8" t="s">
        <v>23</v>
      </c>
      <c r="G8">
        <v>5</v>
      </c>
      <c r="H8">
        <v>1755.78</v>
      </c>
      <c r="I8">
        <v>0.15</v>
      </c>
      <c r="J8">
        <v>7462.04</v>
      </c>
      <c r="K8">
        <v>780.61</v>
      </c>
      <c r="L8" t="s">
        <v>24</v>
      </c>
      <c r="Q8" s="4"/>
      <c r="S8" s="4" t="s">
        <v>25</v>
      </c>
      <c r="T8" s="4" t="s">
        <v>42</v>
      </c>
    </row>
    <row r="9" spans="1:21" x14ac:dyDescent="0.3">
      <c r="A9" t="s">
        <v>43</v>
      </c>
      <c r="B9" s="2">
        <v>45029</v>
      </c>
      <c r="C9" t="s">
        <v>44</v>
      </c>
      <c r="D9" t="s">
        <v>45</v>
      </c>
      <c r="E9" t="s">
        <v>16</v>
      </c>
      <c r="F9" t="s">
        <v>46</v>
      </c>
      <c r="G9">
        <v>7</v>
      </c>
      <c r="H9">
        <v>1802.57</v>
      </c>
      <c r="I9">
        <v>0</v>
      </c>
      <c r="J9">
        <v>12618.01</v>
      </c>
      <c r="K9">
        <v>1489.34</v>
      </c>
      <c r="L9" t="s">
        <v>39</v>
      </c>
      <c r="R9" s="1" t="s">
        <v>30</v>
      </c>
      <c r="S9">
        <v>4</v>
      </c>
      <c r="T9" t="str">
        <f>INDEX(A1:M1,S9)</f>
        <v>Region</v>
      </c>
    </row>
    <row r="10" spans="1:21" x14ac:dyDescent="0.3">
      <c r="A10" t="s">
        <v>47</v>
      </c>
      <c r="B10" s="2">
        <v>45048</v>
      </c>
      <c r="C10" t="s">
        <v>14</v>
      </c>
      <c r="D10" t="s">
        <v>48</v>
      </c>
      <c r="E10" t="s">
        <v>28</v>
      </c>
      <c r="F10" t="s">
        <v>29</v>
      </c>
      <c r="G10">
        <v>7</v>
      </c>
      <c r="H10">
        <v>412.85</v>
      </c>
      <c r="I10">
        <v>0.1</v>
      </c>
      <c r="J10">
        <v>2600.9299999999998</v>
      </c>
      <c r="K10">
        <v>401.46</v>
      </c>
      <c r="L10" t="s">
        <v>18</v>
      </c>
      <c r="S10" t="s">
        <v>49</v>
      </c>
    </row>
    <row r="11" spans="1:21" x14ac:dyDescent="0.3">
      <c r="A11" t="s">
        <v>50</v>
      </c>
      <c r="B11" s="2">
        <v>45141</v>
      </c>
      <c r="C11" t="s">
        <v>51</v>
      </c>
      <c r="D11" t="s">
        <v>15</v>
      </c>
      <c r="E11" t="s">
        <v>22</v>
      </c>
      <c r="F11" t="s">
        <v>52</v>
      </c>
      <c r="G11">
        <v>6</v>
      </c>
      <c r="H11">
        <v>515.65</v>
      </c>
      <c r="I11">
        <v>0</v>
      </c>
      <c r="J11">
        <v>3093.91</v>
      </c>
      <c r="K11">
        <v>467.05</v>
      </c>
      <c r="L11" t="s">
        <v>34</v>
      </c>
    </row>
    <row r="12" spans="1:21" x14ac:dyDescent="0.3">
      <c r="A12" t="s">
        <v>53</v>
      </c>
      <c r="B12" s="2">
        <v>45257</v>
      </c>
      <c r="C12" t="s">
        <v>51</v>
      </c>
      <c r="D12" t="s">
        <v>21</v>
      </c>
      <c r="E12" t="s">
        <v>22</v>
      </c>
      <c r="F12" t="s">
        <v>52</v>
      </c>
      <c r="G12">
        <v>2</v>
      </c>
      <c r="H12">
        <v>1453.31</v>
      </c>
      <c r="I12">
        <v>0.2</v>
      </c>
      <c r="J12">
        <v>2325.3000000000002</v>
      </c>
      <c r="K12">
        <v>281.85000000000002</v>
      </c>
      <c r="L12" t="s">
        <v>39</v>
      </c>
    </row>
    <row r="13" spans="1:21" x14ac:dyDescent="0.3">
      <c r="A13" t="s">
        <v>54</v>
      </c>
      <c r="B13" s="2">
        <v>45014</v>
      </c>
      <c r="C13" t="s">
        <v>38</v>
      </c>
      <c r="D13" t="s">
        <v>48</v>
      </c>
      <c r="E13" t="s">
        <v>22</v>
      </c>
      <c r="F13" t="s">
        <v>55</v>
      </c>
      <c r="G13">
        <v>6</v>
      </c>
      <c r="H13">
        <v>162.80000000000001</v>
      </c>
      <c r="I13">
        <v>0</v>
      </c>
      <c r="J13">
        <v>976.78</v>
      </c>
      <c r="K13">
        <v>203.74</v>
      </c>
      <c r="L13" t="s">
        <v>34</v>
      </c>
      <c r="R13" s="1" t="s">
        <v>30</v>
      </c>
      <c r="S13" s="3" t="s">
        <v>56</v>
      </c>
      <c r="T13" s="3" t="s">
        <v>57</v>
      </c>
      <c r="U13" s="4"/>
    </row>
    <row r="14" spans="1:21" x14ac:dyDescent="0.3">
      <c r="A14" t="s">
        <v>58</v>
      </c>
      <c r="B14" s="2">
        <v>45026</v>
      </c>
      <c r="C14" t="s">
        <v>51</v>
      </c>
      <c r="D14" t="s">
        <v>21</v>
      </c>
      <c r="E14" t="s">
        <v>22</v>
      </c>
      <c r="F14" t="s">
        <v>55</v>
      </c>
      <c r="G14">
        <v>7</v>
      </c>
      <c r="H14">
        <v>1377.06</v>
      </c>
      <c r="I14">
        <v>0.1</v>
      </c>
      <c r="J14">
        <v>8675.4599999999991</v>
      </c>
      <c r="K14">
        <v>1235.5</v>
      </c>
      <c r="L14" t="s">
        <v>24</v>
      </c>
      <c r="R14" s="5"/>
      <c r="S14">
        <v>5</v>
      </c>
      <c r="T14">
        <v>4</v>
      </c>
      <c r="U14" t="str">
        <f>INDEX(A1:L101,S14,T14)</f>
        <v>South</v>
      </c>
    </row>
    <row r="15" spans="1:21" x14ac:dyDescent="0.3">
      <c r="A15" t="s">
        <v>59</v>
      </c>
      <c r="B15" s="2">
        <v>45286</v>
      </c>
      <c r="C15" t="s">
        <v>60</v>
      </c>
      <c r="D15" t="s">
        <v>45</v>
      </c>
      <c r="E15" t="s">
        <v>28</v>
      </c>
      <c r="F15" t="s">
        <v>61</v>
      </c>
      <c r="G15">
        <v>6</v>
      </c>
      <c r="H15">
        <v>857.77</v>
      </c>
      <c r="I15">
        <v>0</v>
      </c>
      <c r="J15">
        <v>5146.6000000000004</v>
      </c>
      <c r="K15">
        <v>451.25</v>
      </c>
      <c r="L15" t="s">
        <v>39</v>
      </c>
      <c r="R15" s="5"/>
    </row>
    <row r="16" spans="1:21" x14ac:dyDescent="0.3">
      <c r="A16" t="s">
        <v>62</v>
      </c>
      <c r="B16" s="2">
        <v>45078</v>
      </c>
      <c r="C16" t="s">
        <v>41</v>
      </c>
      <c r="D16" t="s">
        <v>45</v>
      </c>
      <c r="E16" t="s">
        <v>16</v>
      </c>
      <c r="F16" t="s">
        <v>17</v>
      </c>
      <c r="G16">
        <v>4</v>
      </c>
      <c r="H16">
        <v>131.52000000000001</v>
      </c>
      <c r="I16">
        <v>0.1</v>
      </c>
      <c r="J16">
        <v>473.46</v>
      </c>
      <c r="K16">
        <v>119.49</v>
      </c>
      <c r="L16" t="s">
        <v>18</v>
      </c>
      <c r="N16" s="2"/>
      <c r="R16" s="1" t="s">
        <v>63</v>
      </c>
      <c r="S16" s="3" t="s">
        <v>64</v>
      </c>
      <c r="T16" s="3" t="s">
        <v>65</v>
      </c>
    </row>
    <row r="17" spans="1:28" x14ac:dyDescent="0.3">
      <c r="A17" t="s">
        <v>66</v>
      </c>
      <c r="B17" s="2">
        <v>45057</v>
      </c>
      <c r="C17" t="s">
        <v>44</v>
      </c>
      <c r="D17" t="s">
        <v>48</v>
      </c>
      <c r="E17" t="s">
        <v>28</v>
      </c>
      <c r="F17" t="s">
        <v>67</v>
      </c>
      <c r="G17">
        <v>8</v>
      </c>
      <c r="H17">
        <v>834.8</v>
      </c>
      <c r="I17">
        <v>0.05</v>
      </c>
      <c r="J17">
        <v>6344.46</v>
      </c>
      <c r="K17">
        <v>1645.93</v>
      </c>
      <c r="L17" t="s">
        <v>24</v>
      </c>
      <c r="M17" s="11" t="s">
        <v>68</v>
      </c>
      <c r="N17" s="12"/>
      <c r="S17" t="s">
        <v>7</v>
      </c>
      <c r="T17">
        <f>MATCH(S17,A1:L1,0)</f>
        <v>8</v>
      </c>
    </row>
    <row r="18" spans="1:28" x14ac:dyDescent="0.3">
      <c r="A18" t="s">
        <v>69</v>
      </c>
      <c r="B18" s="2">
        <v>45076</v>
      </c>
      <c r="C18" t="s">
        <v>41</v>
      </c>
      <c r="D18" t="s">
        <v>45</v>
      </c>
      <c r="E18" t="s">
        <v>16</v>
      </c>
      <c r="F18" t="s">
        <v>17</v>
      </c>
      <c r="G18">
        <v>3</v>
      </c>
      <c r="H18">
        <v>534.25</v>
      </c>
      <c r="I18">
        <v>0.05</v>
      </c>
      <c r="J18">
        <v>1522.6</v>
      </c>
      <c r="K18">
        <v>449.99</v>
      </c>
      <c r="L18" t="s">
        <v>39</v>
      </c>
      <c r="M18" s="6"/>
      <c r="T18">
        <f>MATCH(S17,A1:L1,0)</f>
        <v>8</v>
      </c>
    </row>
    <row r="19" spans="1:28" x14ac:dyDescent="0.3">
      <c r="A19" t="s">
        <v>70</v>
      </c>
      <c r="B19" s="2">
        <v>45235</v>
      </c>
      <c r="C19" t="s">
        <v>44</v>
      </c>
      <c r="D19" t="s">
        <v>21</v>
      </c>
      <c r="E19" t="s">
        <v>22</v>
      </c>
      <c r="F19" t="s">
        <v>23</v>
      </c>
      <c r="G19">
        <v>5</v>
      </c>
      <c r="H19">
        <v>1810.79</v>
      </c>
      <c r="I19">
        <v>0.1</v>
      </c>
      <c r="J19">
        <v>8148.57</v>
      </c>
      <c r="K19">
        <v>791.85</v>
      </c>
      <c r="L19" t="s">
        <v>18</v>
      </c>
      <c r="M19" s="6"/>
      <c r="N19" s="7" t="s">
        <v>71</v>
      </c>
    </row>
    <row r="20" spans="1:28" x14ac:dyDescent="0.3">
      <c r="A20" t="s">
        <v>72</v>
      </c>
      <c r="B20" s="2">
        <v>45184</v>
      </c>
      <c r="C20" t="s">
        <v>73</v>
      </c>
      <c r="D20" t="s">
        <v>45</v>
      </c>
      <c r="E20" t="s">
        <v>16</v>
      </c>
      <c r="F20" t="s">
        <v>46</v>
      </c>
      <c r="G20">
        <v>8</v>
      </c>
      <c r="H20">
        <v>1786.76</v>
      </c>
      <c r="I20">
        <v>0.15</v>
      </c>
      <c r="J20">
        <v>12149.99</v>
      </c>
      <c r="K20">
        <v>863.07</v>
      </c>
      <c r="L20" t="s">
        <v>24</v>
      </c>
      <c r="M20" s="7" t="s">
        <v>14</v>
      </c>
      <c r="N20" s="6">
        <f>VLOOKUP(M20,C1:L101,8,0)</f>
        <v>3896.18</v>
      </c>
    </row>
    <row r="21" spans="1:28" x14ac:dyDescent="0.3">
      <c r="A21" t="s">
        <v>74</v>
      </c>
      <c r="B21" s="2">
        <v>45270</v>
      </c>
      <c r="C21" t="s">
        <v>38</v>
      </c>
      <c r="D21" t="s">
        <v>15</v>
      </c>
      <c r="E21" t="s">
        <v>22</v>
      </c>
      <c r="F21" t="s">
        <v>52</v>
      </c>
      <c r="G21">
        <v>9</v>
      </c>
      <c r="H21">
        <v>1360.65</v>
      </c>
      <c r="I21">
        <v>0.2</v>
      </c>
      <c r="J21">
        <v>9796.7000000000007</v>
      </c>
      <c r="K21">
        <v>1185.21</v>
      </c>
      <c r="L21" t="s">
        <v>24</v>
      </c>
      <c r="M21" s="6"/>
      <c r="N21" s="6"/>
      <c r="S21" t="s">
        <v>75</v>
      </c>
    </row>
    <row r="22" spans="1:28" x14ac:dyDescent="0.3">
      <c r="A22" t="s">
        <v>76</v>
      </c>
      <c r="B22" s="2">
        <v>45220</v>
      </c>
      <c r="C22" t="s">
        <v>14</v>
      </c>
      <c r="D22" t="s">
        <v>45</v>
      </c>
      <c r="E22" t="s">
        <v>16</v>
      </c>
      <c r="F22" t="s">
        <v>33</v>
      </c>
      <c r="G22">
        <v>9</v>
      </c>
      <c r="H22">
        <v>434.26</v>
      </c>
      <c r="I22">
        <v>0.15</v>
      </c>
      <c r="J22">
        <v>3322.07</v>
      </c>
      <c r="K22">
        <v>363.14</v>
      </c>
      <c r="L22" t="s">
        <v>34</v>
      </c>
      <c r="M22" s="6"/>
      <c r="N22" s="8"/>
      <c r="S22" s="3" t="s">
        <v>1</v>
      </c>
      <c r="T22" s="3" t="s">
        <v>9</v>
      </c>
      <c r="U22" s="3" t="s">
        <v>0</v>
      </c>
    </row>
    <row r="23" spans="1:28" x14ac:dyDescent="0.3">
      <c r="A23" t="s">
        <v>77</v>
      </c>
      <c r="B23" s="2">
        <v>45118</v>
      </c>
      <c r="C23" t="s">
        <v>60</v>
      </c>
      <c r="D23" t="s">
        <v>21</v>
      </c>
      <c r="E23" t="s">
        <v>16</v>
      </c>
      <c r="F23" t="s">
        <v>17</v>
      </c>
      <c r="G23">
        <v>1</v>
      </c>
      <c r="H23">
        <v>685.32</v>
      </c>
      <c r="I23">
        <v>0.15</v>
      </c>
      <c r="J23">
        <v>582.52</v>
      </c>
      <c r="K23">
        <v>103.22</v>
      </c>
      <c r="L23" t="s">
        <v>24</v>
      </c>
      <c r="M23" s="6"/>
      <c r="N23" s="7" t="s">
        <v>71</v>
      </c>
      <c r="R23" s="9" t="s">
        <v>78</v>
      </c>
      <c r="S23" s="2">
        <v>45033</v>
      </c>
      <c r="T23">
        <f>INDEX(J1:J101,MATCH(S23,B1:B101,0))</f>
        <v>5248.92</v>
      </c>
      <c r="U23" t="str">
        <f>INDEX(A1:A101,MATCH(S23,B1:B101,0))</f>
        <v>ORD-1003</v>
      </c>
    </row>
    <row r="24" spans="1:28" x14ac:dyDescent="0.3">
      <c r="A24" t="s">
        <v>79</v>
      </c>
      <c r="B24" s="2">
        <v>45203</v>
      </c>
      <c r="C24" t="s">
        <v>38</v>
      </c>
      <c r="D24" t="s">
        <v>48</v>
      </c>
      <c r="E24" t="s">
        <v>22</v>
      </c>
      <c r="F24" t="s">
        <v>55</v>
      </c>
      <c r="G24">
        <v>6</v>
      </c>
      <c r="H24">
        <v>1959.9</v>
      </c>
      <c r="I24">
        <v>0.1</v>
      </c>
      <c r="J24">
        <v>10583.44</v>
      </c>
      <c r="K24">
        <v>2889.4</v>
      </c>
      <c r="L24" t="s">
        <v>24</v>
      </c>
      <c r="M24" s="7" t="s">
        <v>36</v>
      </c>
      <c r="N24" s="6">
        <f>VLOOKUP(M24,A2:L101,10,0)</f>
        <v>5617.94</v>
      </c>
      <c r="R24" s="9" t="s">
        <v>78</v>
      </c>
      <c r="S24" s="2">
        <v>45033</v>
      </c>
      <c r="T24">
        <f>INDEX(J:J,MATCH(S24,B:B,0),0)</f>
        <v>5248.92</v>
      </c>
      <c r="U24" t="str">
        <f>INDEX(A:A,MATCH(S24,B:B,0),0)</f>
        <v>ORD-1003</v>
      </c>
    </row>
    <row r="25" spans="1:28" x14ac:dyDescent="0.3">
      <c r="A25" t="s">
        <v>80</v>
      </c>
      <c r="B25" s="2">
        <v>45087</v>
      </c>
      <c r="C25" t="s">
        <v>41</v>
      </c>
      <c r="D25" t="s">
        <v>21</v>
      </c>
      <c r="E25" t="s">
        <v>28</v>
      </c>
      <c r="F25" t="s">
        <v>29</v>
      </c>
      <c r="G25">
        <v>1</v>
      </c>
      <c r="H25">
        <v>470.96</v>
      </c>
      <c r="I25">
        <v>0.2</v>
      </c>
      <c r="J25">
        <v>376.77</v>
      </c>
      <c r="K25">
        <v>65.86</v>
      </c>
      <c r="L25" t="s">
        <v>34</v>
      </c>
    </row>
    <row r="26" spans="1:28" x14ac:dyDescent="0.3">
      <c r="A26" t="s">
        <v>81</v>
      </c>
      <c r="B26" s="2">
        <v>45240</v>
      </c>
      <c r="C26" t="s">
        <v>73</v>
      </c>
      <c r="D26" t="s">
        <v>48</v>
      </c>
      <c r="E26" t="s">
        <v>28</v>
      </c>
      <c r="F26" t="s">
        <v>67</v>
      </c>
      <c r="G26">
        <v>5</v>
      </c>
      <c r="H26">
        <v>1778.64</v>
      </c>
      <c r="I26">
        <v>0.15</v>
      </c>
      <c r="J26">
        <v>7559.21</v>
      </c>
      <c r="K26">
        <v>407.17</v>
      </c>
      <c r="L26" t="s">
        <v>39</v>
      </c>
    </row>
    <row r="27" spans="1:28" x14ac:dyDescent="0.3">
      <c r="A27" t="s">
        <v>82</v>
      </c>
      <c r="B27" s="2">
        <v>44948</v>
      </c>
      <c r="C27" t="s">
        <v>14</v>
      </c>
      <c r="D27" t="s">
        <v>45</v>
      </c>
      <c r="E27" t="s">
        <v>22</v>
      </c>
      <c r="F27" t="s">
        <v>23</v>
      </c>
      <c r="G27">
        <v>3</v>
      </c>
      <c r="H27">
        <v>1962.63</v>
      </c>
      <c r="I27">
        <v>0.15</v>
      </c>
      <c r="J27">
        <v>5004.71</v>
      </c>
      <c r="K27">
        <v>618.64</v>
      </c>
      <c r="L27" t="s">
        <v>18</v>
      </c>
      <c r="S27" s="3" t="s">
        <v>1</v>
      </c>
      <c r="T27" s="3" t="s">
        <v>9</v>
      </c>
    </row>
    <row r="28" spans="1:28" x14ac:dyDescent="0.3">
      <c r="A28" t="s">
        <v>83</v>
      </c>
      <c r="B28" s="2">
        <v>45179</v>
      </c>
      <c r="C28" t="s">
        <v>73</v>
      </c>
      <c r="D28" t="s">
        <v>15</v>
      </c>
      <c r="E28" t="s">
        <v>28</v>
      </c>
      <c r="F28" t="s">
        <v>29</v>
      </c>
      <c r="G28">
        <v>2</v>
      </c>
      <c r="H28">
        <v>1157.92</v>
      </c>
      <c r="I28">
        <v>0.05</v>
      </c>
      <c r="J28">
        <v>2200.0500000000002</v>
      </c>
      <c r="K28">
        <v>621.52</v>
      </c>
      <c r="L28" t="s">
        <v>34</v>
      </c>
      <c r="S28" s="2">
        <v>44947</v>
      </c>
      <c r="T28">
        <f>INDEX(A1:L101,MATCH(S28,B1:B101,0),MATCH(T27,A1:L1,0))</f>
        <v>7462.04</v>
      </c>
    </row>
    <row r="29" spans="1:28" x14ac:dyDescent="0.3">
      <c r="A29" t="s">
        <v>84</v>
      </c>
      <c r="B29" s="2">
        <v>45162</v>
      </c>
      <c r="C29" t="s">
        <v>32</v>
      </c>
      <c r="D29" t="s">
        <v>48</v>
      </c>
      <c r="E29" t="s">
        <v>16</v>
      </c>
      <c r="F29" t="s">
        <v>46</v>
      </c>
      <c r="G29">
        <v>7</v>
      </c>
      <c r="H29">
        <v>366.16</v>
      </c>
      <c r="I29">
        <v>0.1</v>
      </c>
      <c r="J29">
        <v>2306.81</v>
      </c>
      <c r="K29">
        <v>285.63</v>
      </c>
      <c r="L29" t="s">
        <v>34</v>
      </c>
    </row>
    <row r="30" spans="1:28" x14ac:dyDescent="0.3">
      <c r="A30" t="s">
        <v>85</v>
      </c>
      <c r="B30" s="2">
        <v>45271</v>
      </c>
      <c r="C30" t="s">
        <v>32</v>
      </c>
      <c r="D30" t="s">
        <v>21</v>
      </c>
      <c r="E30" t="s">
        <v>28</v>
      </c>
      <c r="F30" t="s">
        <v>67</v>
      </c>
      <c r="G30">
        <v>6</v>
      </c>
      <c r="H30">
        <v>783.03</v>
      </c>
      <c r="I30">
        <v>0.2</v>
      </c>
      <c r="J30">
        <v>3758.56</v>
      </c>
      <c r="K30">
        <v>466.54</v>
      </c>
      <c r="L30" t="s">
        <v>24</v>
      </c>
      <c r="Q30" t="s">
        <v>0</v>
      </c>
      <c r="R30" t="s">
        <v>1</v>
      </c>
      <c r="S30" t="s">
        <v>2</v>
      </c>
      <c r="T30" t="s">
        <v>3</v>
      </c>
      <c r="U30" t="s">
        <v>4</v>
      </c>
      <c r="V30" t="s">
        <v>5</v>
      </c>
      <c r="W30" t="s">
        <v>6</v>
      </c>
      <c r="X30" t="s">
        <v>7</v>
      </c>
      <c r="Y30" t="s">
        <v>8</v>
      </c>
      <c r="Z30" t="s">
        <v>9</v>
      </c>
      <c r="AA30" t="s">
        <v>10</v>
      </c>
      <c r="AB30" t="s">
        <v>11</v>
      </c>
    </row>
    <row r="31" spans="1:28" x14ac:dyDescent="0.3">
      <c r="A31" t="s">
        <v>86</v>
      </c>
      <c r="B31" s="2">
        <v>44975</v>
      </c>
      <c r="C31" t="s">
        <v>73</v>
      </c>
      <c r="D31" t="s">
        <v>45</v>
      </c>
      <c r="E31" t="s">
        <v>28</v>
      </c>
      <c r="F31" t="s">
        <v>67</v>
      </c>
      <c r="G31">
        <v>7</v>
      </c>
      <c r="H31">
        <v>1052.8800000000001</v>
      </c>
      <c r="I31">
        <v>0.2</v>
      </c>
      <c r="J31">
        <v>5896.13</v>
      </c>
      <c r="K31">
        <v>581.16999999999996</v>
      </c>
      <c r="L31" t="s">
        <v>24</v>
      </c>
      <c r="Q31" t="s">
        <v>36</v>
      </c>
    </row>
    <row r="32" spans="1:28" x14ac:dyDescent="0.3">
      <c r="A32" t="s">
        <v>87</v>
      </c>
      <c r="B32" s="2">
        <v>44985</v>
      </c>
      <c r="C32" t="s">
        <v>20</v>
      </c>
      <c r="D32" t="s">
        <v>21</v>
      </c>
      <c r="E32" t="s">
        <v>22</v>
      </c>
      <c r="F32" t="s">
        <v>52</v>
      </c>
      <c r="G32">
        <v>7</v>
      </c>
      <c r="H32">
        <v>152.47</v>
      </c>
      <c r="I32">
        <v>0.05</v>
      </c>
      <c r="J32">
        <v>1013.94</v>
      </c>
      <c r="K32">
        <v>74.52</v>
      </c>
      <c r="L32" t="s">
        <v>24</v>
      </c>
    </row>
    <row r="33" spans="1:12" x14ac:dyDescent="0.3">
      <c r="A33" t="s">
        <v>88</v>
      </c>
      <c r="B33" s="2">
        <v>45096</v>
      </c>
      <c r="C33" t="s">
        <v>60</v>
      </c>
      <c r="D33" t="s">
        <v>21</v>
      </c>
      <c r="E33" t="s">
        <v>16</v>
      </c>
      <c r="F33" t="s">
        <v>33</v>
      </c>
      <c r="G33">
        <v>6</v>
      </c>
      <c r="H33">
        <v>1222.58</v>
      </c>
      <c r="I33">
        <v>0</v>
      </c>
      <c r="J33">
        <v>7335.5</v>
      </c>
      <c r="K33">
        <v>435.27</v>
      </c>
      <c r="L33" t="s">
        <v>24</v>
      </c>
    </row>
    <row r="34" spans="1:12" x14ac:dyDescent="0.3">
      <c r="A34" t="s">
        <v>89</v>
      </c>
      <c r="B34" s="2">
        <v>45114</v>
      </c>
      <c r="C34" t="s">
        <v>14</v>
      </c>
      <c r="D34" t="s">
        <v>21</v>
      </c>
      <c r="E34" t="s">
        <v>16</v>
      </c>
      <c r="F34" t="s">
        <v>33</v>
      </c>
      <c r="G34">
        <v>1</v>
      </c>
      <c r="H34">
        <v>1672.95</v>
      </c>
      <c r="I34">
        <v>0.15</v>
      </c>
      <c r="J34">
        <v>1422.01</v>
      </c>
      <c r="K34">
        <v>147.83000000000001</v>
      </c>
      <c r="L34" t="s">
        <v>34</v>
      </c>
    </row>
    <row r="35" spans="1:12" x14ac:dyDescent="0.3">
      <c r="A35" t="s">
        <v>90</v>
      </c>
      <c r="B35" s="2">
        <v>45197</v>
      </c>
      <c r="C35" t="s">
        <v>41</v>
      </c>
      <c r="D35" t="s">
        <v>45</v>
      </c>
      <c r="E35" t="s">
        <v>22</v>
      </c>
      <c r="F35" t="s">
        <v>23</v>
      </c>
      <c r="G35">
        <v>4</v>
      </c>
      <c r="H35">
        <v>881.57</v>
      </c>
      <c r="I35">
        <v>0.1</v>
      </c>
      <c r="J35">
        <v>3173.66</v>
      </c>
      <c r="K35">
        <v>664.43</v>
      </c>
      <c r="L35" t="s">
        <v>39</v>
      </c>
    </row>
    <row r="36" spans="1:12" x14ac:dyDescent="0.3">
      <c r="A36" t="s">
        <v>91</v>
      </c>
      <c r="B36" s="2">
        <v>45116</v>
      </c>
      <c r="C36" t="s">
        <v>20</v>
      </c>
      <c r="D36" t="s">
        <v>15</v>
      </c>
      <c r="E36" t="s">
        <v>22</v>
      </c>
      <c r="F36" t="s">
        <v>55</v>
      </c>
      <c r="G36">
        <v>3</v>
      </c>
      <c r="H36">
        <v>1610.85</v>
      </c>
      <c r="I36">
        <v>0.1</v>
      </c>
      <c r="J36">
        <v>4349.3100000000004</v>
      </c>
      <c r="K36">
        <v>694.77</v>
      </c>
      <c r="L36" t="s">
        <v>39</v>
      </c>
    </row>
    <row r="37" spans="1:12" x14ac:dyDescent="0.3">
      <c r="A37" t="s">
        <v>92</v>
      </c>
      <c r="B37" s="2">
        <v>45101</v>
      </c>
      <c r="C37" t="s">
        <v>32</v>
      </c>
      <c r="D37" t="s">
        <v>15</v>
      </c>
      <c r="E37" t="s">
        <v>22</v>
      </c>
      <c r="F37" t="s">
        <v>23</v>
      </c>
      <c r="G37">
        <v>7</v>
      </c>
      <c r="H37">
        <v>913.8</v>
      </c>
      <c r="I37">
        <v>0.15</v>
      </c>
      <c r="J37">
        <v>5437.1</v>
      </c>
      <c r="K37">
        <v>827.73</v>
      </c>
      <c r="L37" t="s">
        <v>39</v>
      </c>
    </row>
    <row r="38" spans="1:12" x14ac:dyDescent="0.3">
      <c r="A38" t="s">
        <v>93</v>
      </c>
      <c r="B38" s="2">
        <v>44977</v>
      </c>
      <c r="C38" t="s">
        <v>20</v>
      </c>
      <c r="D38" t="s">
        <v>45</v>
      </c>
      <c r="E38" t="s">
        <v>16</v>
      </c>
      <c r="F38" t="s">
        <v>46</v>
      </c>
      <c r="G38">
        <v>6</v>
      </c>
      <c r="H38">
        <v>1457.73</v>
      </c>
      <c r="I38">
        <v>0.2</v>
      </c>
      <c r="J38">
        <v>6997.11</v>
      </c>
      <c r="K38">
        <v>839.54</v>
      </c>
      <c r="L38" t="s">
        <v>18</v>
      </c>
    </row>
    <row r="39" spans="1:12" x14ac:dyDescent="0.3">
      <c r="A39" t="s">
        <v>94</v>
      </c>
      <c r="B39" s="2">
        <v>45290</v>
      </c>
      <c r="C39" t="s">
        <v>14</v>
      </c>
      <c r="D39" t="s">
        <v>15</v>
      </c>
      <c r="E39" t="s">
        <v>28</v>
      </c>
      <c r="F39" t="s">
        <v>61</v>
      </c>
      <c r="G39">
        <v>7</v>
      </c>
      <c r="H39">
        <v>190.66</v>
      </c>
      <c r="I39">
        <v>0.05</v>
      </c>
      <c r="J39">
        <v>1267.8900000000001</v>
      </c>
      <c r="K39">
        <v>176.23</v>
      </c>
      <c r="L39" t="s">
        <v>39</v>
      </c>
    </row>
    <row r="40" spans="1:12" x14ac:dyDescent="0.3">
      <c r="A40" t="s">
        <v>95</v>
      </c>
      <c r="B40" s="2">
        <v>44981</v>
      </c>
      <c r="C40" t="s">
        <v>32</v>
      </c>
      <c r="D40" t="s">
        <v>15</v>
      </c>
      <c r="E40" t="s">
        <v>28</v>
      </c>
      <c r="F40" t="s">
        <v>61</v>
      </c>
      <c r="G40">
        <v>5</v>
      </c>
      <c r="H40">
        <v>278.89999999999998</v>
      </c>
      <c r="I40">
        <v>0.15</v>
      </c>
      <c r="J40">
        <v>1185.32</v>
      </c>
      <c r="K40">
        <v>111.22</v>
      </c>
      <c r="L40" t="s">
        <v>34</v>
      </c>
    </row>
    <row r="41" spans="1:12" x14ac:dyDescent="0.3">
      <c r="A41" t="s">
        <v>96</v>
      </c>
      <c r="B41" s="2">
        <v>45170</v>
      </c>
      <c r="C41" t="s">
        <v>32</v>
      </c>
      <c r="D41" t="s">
        <v>15</v>
      </c>
      <c r="E41" t="s">
        <v>28</v>
      </c>
      <c r="F41" t="s">
        <v>29</v>
      </c>
      <c r="G41">
        <v>4</v>
      </c>
      <c r="H41">
        <v>429.08</v>
      </c>
      <c r="I41">
        <v>0.2</v>
      </c>
      <c r="J41">
        <v>1373.07</v>
      </c>
      <c r="K41">
        <v>205.45</v>
      </c>
      <c r="L41" t="s">
        <v>39</v>
      </c>
    </row>
    <row r="42" spans="1:12" x14ac:dyDescent="0.3">
      <c r="A42" t="s">
        <v>97</v>
      </c>
      <c r="B42" s="2">
        <v>45246</v>
      </c>
      <c r="C42" t="s">
        <v>41</v>
      </c>
      <c r="D42" t="s">
        <v>45</v>
      </c>
      <c r="E42" t="s">
        <v>22</v>
      </c>
      <c r="F42" t="s">
        <v>52</v>
      </c>
      <c r="G42">
        <v>3</v>
      </c>
      <c r="H42">
        <v>1055.96</v>
      </c>
      <c r="I42">
        <v>0</v>
      </c>
      <c r="J42">
        <v>3167.88</v>
      </c>
      <c r="K42">
        <v>585.55999999999995</v>
      </c>
      <c r="L42" t="s">
        <v>34</v>
      </c>
    </row>
    <row r="43" spans="1:12" x14ac:dyDescent="0.3">
      <c r="A43" t="s">
        <v>98</v>
      </c>
      <c r="B43" s="2">
        <v>45057</v>
      </c>
      <c r="C43" t="s">
        <v>38</v>
      </c>
      <c r="D43" t="s">
        <v>21</v>
      </c>
      <c r="E43" t="s">
        <v>16</v>
      </c>
      <c r="F43" t="s">
        <v>46</v>
      </c>
      <c r="G43">
        <v>1</v>
      </c>
      <c r="H43">
        <v>1747.68</v>
      </c>
      <c r="I43">
        <v>0.1</v>
      </c>
      <c r="J43">
        <v>1572.91</v>
      </c>
      <c r="K43">
        <v>393.6</v>
      </c>
      <c r="L43" t="s">
        <v>34</v>
      </c>
    </row>
    <row r="44" spans="1:12" x14ac:dyDescent="0.3">
      <c r="A44" t="s">
        <v>99</v>
      </c>
      <c r="B44" s="2">
        <v>45233</v>
      </c>
      <c r="C44" t="s">
        <v>51</v>
      </c>
      <c r="D44" t="s">
        <v>45</v>
      </c>
      <c r="E44" t="s">
        <v>28</v>
      </c>
      <c r="F44" t="s">
        <v>67</v>
      </c>
      <c r="G44">
        <v>3</v>
      </c>
      <c r="H44">
        <v>1659.22</v>
      </c>
      <c r="I44">
        <v>0.15</v>
      </c>
      <c r="J44">
        <v>4231</v>
      </c>
      <c r="K44">
        <v>619.95000000000005</v>
      </c>
      <c r="L44" t="s">
        <v>24</v>
      </c>
    </row>
    <row r="45" spans="1:12" x14ac:dyDescent="0.3">
      <c r="A45" t="s">
        <v>100</v>
      </c>
      <c r="B45" s="2">
        <v>45061</v>
      </c>
      <c r="C45" t="s">
        <v>51</v>
      </c>
      <c r="D45" t="s">
        <v>15</v>
      </c>
      <c r="E45" t="s">
        <v>16</v>
      </c>
      <c r="F45" t="s">
        <v>33</v>
      </c>
      <c r="G45">
        <v>2</v>
      </c>
      <c r="H45">
        <v>174.03</v>
      </c>
      <c r="I45">
        <v>0.05</v>
      </c>
      <c r="J45">
        <v>330.66</v>
      </c>
      <c r="K45">
        <v>72.989999999999995</v>
      </c>
      <c r="L45" t="s">
        <v>34</v>
      </c>
    </row>
    <row r="46" spans="1:12" x14ac:dyDescent="0.3">
      <c r="A46" t="s">
        <v>101</v>
      </c>
      <c r="B46" s="2">
        <v>44947</v>
      </c>
      <c r="C46" t="s">
        <v>38</v>
      </c>
      <c r="D46" t="s">
        <v>48</v>
      </c>
      <c r="E46" t="s">
        <v>28</v>
      </c>
      <c r="F46" t="s">
        <v>61</v>
      </c>
      <c r="G46">
        <v>2</v>
      </c>
      <c r="H46">
        <v>595.32000000000005</v>
      </c>
      <c r="I46">
        <v>0.15</v>
      </c>
      <c r="J46">
        <v>1012.04</v>
      </c>
      <c r="K46">
        <v>225.91</v>
      </c>
      <c r="L46" t="s">
        <v>18</v>
      </c>
    </row>
    <row r="47" spans="1:12" x14ac:dyDescent="0.3">
      <c r="A47" t="s">
        <v>102</v>
      </c>
      <c r="B47" s="2">
        <v>45255</v>
      </c>
      <c r="C47" t="s">
        <v>44</v>
      </c>
      <c r="D47" t="s">
        <v>45</v>
      </c>
      <c r="E47" t="s">
        <v>28</v>
      </c>
      <c r="F47" t="s">
        <v>67</v>
      </c>
      <c r="G47">
        <v>5</v>
      </c>
      <c r="H47">
        <v>1938.4</v>
      </c>
      <c r="I47">
        <v>0.15</v>
      </c>
      <c r="J47">
        <v>8238.2099999999991</v>
      </c>
      <c r="K47">
        <v>777.36</v>
      </c>
      <c r="L47" t="s">
        <v>34</v>
      </c>
    </row>
    <row r="48" spans="1:12" x14ac:dyDescent="0.3">
      <c r="A48" t="s">
        <v>103</v>
      </c>
      <c r="B48" s="2">
        <v>45093</v>
      </c>
      <c r="C48" t="s">
        <v>73</v>
      </c>
      <c r="D48" t="s">
        <v>21</v>
      </c>
      <c r="E48" t="s">
        <v>16</v>
      </c>
      <c r="F48" t="s">
        <v>33</v>
      </c>
      <c r="G48">
        <v>3</v>
      </c>
      <c r="H48">
        <v>883.97</v>
      </c>
      <c r="I48">
        <v>0.05</v>
      </c>
      <c r="J48">
        <v>2519.3200000000002</v>
      </c>
      <c r="K48">
        <v>283.43</v>
      </c>
      <c r="L48" t="s">
        <v>24</v>
      </c>
    </row>
    <row r="49" spans="1:12" x14ac:dyDescent="0.3">
      <c r="A49" t="s">
        <v>104</v>
      </c>
      <c r="B49" s="2">
        <v>45200</v>
      </c>
      <c r="C49" t="s">
        <v>51</v>
      </c>
      <c r="D49" t="s">
        <v>48</v>
      </c>
      <c r="E49" t="s">
        <v>28</v>
      </c>
      <c r="F49" t="s">
        <v>67</v>
      </c>
      <c r="G49">
        <v>7</v>
      </c>
      <c r="H49">
        <v>1526.66</v>
      </c>
      <c r="I49">
        <v>0</v>
      </c>
      <c r="J49">
        <v>10686.59</v>
      </c>
      <c r="K49">
        <v>1170.81</v>
      </c>
      <c r="L49" t="s">
        <v>24</v>
      </c>
    </row>
    <row r="50" spans="1:12" x14ac:dyDescent="0.3">
      <c r="A50" t="s">
        <v>105</v>
      </c>
      <c r="B50" s="2">
        <v>45015</v>
      </c>
      <c r="C50" t="s">
        <v>106</v>
      </c>
      <c r="D50" t="s">
        <v>45</v>
      </c>
      <c r="E50" t="s">
        <v>28</v>
      </c>
      <c r="F50" t="s">
        <v>61</v>
      </c>
      <c r="G50">
        <v>3</v>
      </c>
      <c r="H50">
        <v>839.48</v>
      </c>
      <c r="I50">
        <v>0.15</v>
      </c>
      <c r="J50">
        <v>2140.6799999999998</v>
      </c>
      <c r="K50">
        <v>620.02</v>
      </c>
      <c r="L50" t="s">
        <v>39</v>
      </c>
    </row>
    <row r="51" spans="1:12" x14ac:dyDescent="0.3">
      <c r="A51" t="s">
        <v>107</v>
      </c>
      <c r="B51" s="2">
        <v>45242</v>
      </c>
      <c r="C51" t="s">
        <v>44</v>
      </c>
      <c r="D51" t="s">
        <v>45</v>
      </c>
      <c r="E51" t="s">
        <v>16</v>
      </c>
      <c r="F51" t="s">
        <v>46</v>
      </c>
      <c r="G51">
        <v>4</v>
      </c>
      <c r="H51">
        <v>1189.53</v>
      </c>
      <c r="I51">
        <v>0.2</v>
      </c>
      <c r="J51">
        <v>3806.5</v>
      </c>
      <c r="K51">
        <v>277.58999999999997</v>
      </c>
      <c r="L51" t="s">
        <v>18</v>
      </c>
    </row>
    <row r="52" spans="1:12" x14ac:dyDescent="0.3">
      <c r="A52" t="s">
        <v>108</v>
      </c>
      <c r="B52" s="2">
        <v>44940</v>
      </c>
      <c r="C52" t="s">
        <v>32</v>
      </c>
      <c r="D52" t="s">
        <v>21</v>
      </c>
      <c r="E52" t="s">
        <v>28</v>
      </c>
      <c r="F52" t="s">
        <v>67</v>
      </c>
      <c r="G52">
        <v>7</v>
      </c>
      <c r="H52">
        <v>1584.46</v>
      </c>
      <c r="I52">
        <v>0.2</v>
      </c>
      <c r="J52">
        <v>8872.99</v>
      </c>
      <c r="K52">
        <v>2508.6799999999998</v>
      </c>
      <c r="L52" t="s">
        <v>24</v>
      </c>
    </row>
    <row r="53" spans="1:12" x14ac:dyDescent="0.3">
      <c r="A53" t="s">
        <v>109</v>
      </c>
      <c r="B53" s="2">
        <v>45168</v>
      </c>
      <c r="C53" t="s">
        <v>38</v>
      </c>
      <c r="D53" t="s">
        <v>21</v>
      </c>
      <c r="E53" t="s">
        <v>16</v>
      </c>
      <c r="F53" t="s">
        <v>46</v>
      </c>
      <c r="G53">
        <v>5</v>
      </c>
      <c r="H53">
        <v>1500.37</v>
      </c>
      <c r="I53">
        <v>0.2</v>
      </c>
      <c r="J53">
        <v>6001.47</v>
      </c>
      <c r="K53">
        <v>826.58</v>
      </c>
      <c r="L53" t="s">
        <v>34</v>
      </c>
    </row>
    <row r="54" spans="1:12" x14ac:dyDescent="0.3">
      <c r="A54" t="s">
        <v>110</v>
      </c>
      <c r="B54" s="2">
        <v>45191</v>
      </c>
      <c r="C54" t="s">
        <v>44</v>
      </c>
      <c r="D54" t="s">
        <v>15</v>
      </c>
      <c r="E54" t="s">
        <v>28</v>
      </c>
      <c r="F54" t="s">
        <v>61</v>
      </c>
      <c r="G54">
        <v>1</v>
      </c>
      <c r="H54">
        <v>292.13</v>
      </c>
      <c r="I54">
        <v>0.2</v>
      </c>
      <c r="J54">
        <v>233.71</v>
      </c>
      <c r="K54">
        <v>24.69</v>
      </c>
      <c r="L54" t="s">
        <v>18</v>
      </c>
    </row>
    <row r="55" spans="1:12" x14ac:dyDescent="0.3">
      <c r="A55" t="s">
        <v>111</v>
      </c>
      <c r="B55" s="2">
        <v>45272</v>
      </c>
      <c r="C55" t="s">
        <v>51</v>
      </c>
      <c r="D55" t="s">
        <v>15</v>
      </c>
      <c r="E55" t="s">
        <v>22</v>
      </c>
      <c r="F55" t="s">
        <v>55</v>
      </c>
      <c r="G55">
        <v>5</v>
      </c>
      <c r="H55">
        <v>1075.32</v>
      </c>
      <c r="I55">
        <v>0.1</v>
      </c>
      <c r="J55">
        <v>4838.9399999999996</v>
      </c>
      <c r="K55">
        <v>945.17</v>
      </c>
      <c r="L55" t="s">
        <v>34</v>
      </c>
    </row>
    <row r="56" spans="1:12" x14ac:dyDescent="0.3">
      <c r="A56" t="s">
        <v>112</v>
      </c>
      <c r="B56" s="2">
        <v>44979</v>
      </c>
      <c r="C56" t="s">
        <v>106</v>
      </c>
      <c r="D56" t="s">
        <v>48</v>
      </c>
      <c r="E56" t="s">
        <v>28</v>
      </c>
      <c r="F56" t="s">
        <v>29</v>
      </c>
      <c r="G56">
        <v>7</v>
      </c>
      <c r="H56">
        <v>1973.4</v>
      </c>
      <c r="I56">
        <v>0.15</v>
      </c>
      <c r="J56">
        <v>11741.74</v>
      </c>
      <c r="K56">
        <v>1615.13</v>
      </c>
      <c r="L56" t="s">
        <v>34</v>
      </c>
    </row>
    <row r="57" spans="1:12" x14ac:dyDescent="0.3">
      <c r="A57" t="s">
        <v>113</v>
      </c>
      <c r="B57" s="2">
        <v>45266</v>
      </c>
      <c r="C57" t="s">
        <v>38</v>
      </c>
      <c r="D57" t="s">
        <v>45</v>
      </c>
      <c r="E57" t="s">
        <v>22</v>
      </c>
      <c r="F57" t="s">
        <v>52</v>
      </c>
      <c r="G57">
        <v>3</v>
      </c>
      <c r="H57">
        <v>311.27999999999997</v>
      </c>
      <c r="I57">
        <v>0.1</v>
      </c>
      <c r="J57">
        <v>840.44</v>
      </c>
      <c r="K57">
        <v>95.32</v>
      </c>
      <c r="L57" t="s">
        <v>24</v>
      </c>
    </row>
    <row r="58" spans="1:12" x14ac:dyDescent="0.3">
      <c r="A58" t="s">
        <v>114</v>
      </c>
      <c r="B58" s="2">
        <v>45018</v>
      </c>
      <c r="C58" t="s">
        <v>44</v>
      </c>
      <c r="D58" t="s">
        <v>21</v>
      </c>
      <c r="E58" t="s">
        <v>22</v>
      </c>
      <c r="F58" t="s">
        <v>23</v>
      </c>
      <c r="G58">
        <v>9</v>
      </c>
      <c r="H58">
        <v>1514</v>
      </c>
      <c r="I58">
        <v>0.1</v>
      </c>
      <c r="J58">
        <v>12263.42</v>
      </c>
      <c r="K58">
        <v>2401.69</v>
      </c>
      <c r="L58" t="s">
        <v>34</v>
      </c>
    </row>
    <row r="59" spans="1:12" x14ac:dyDescent="0.3">
      <c r="A59" t="s">
        <v>115</v>
      </c>
      <c r="B59" s="2">
        <v>45190</v>
      </c>
      <c r="C59" t="s">
        <v>14</v>
      </c>
      <c r="D59" t="s">
        <v>45</v>
      </c>
      <c r="E59" t="s">
        <v>28</v>
      </c>
      <c r="F59" t="s">
        <v>67</v>
      </c>
      <c r="G59">
        <v>8</v>
      </c>
      <c r="H59">
        <v>1103.9000000000001</v>
      </c>
      <c r="I59">
        <v>0.2</v>
      </c>
      <c r="J59">
        <v>7064.98</v>
      </c>
      <c r="K59">
        <v>2054.54</v>
      </c>
      <c r="L59" t="s">
        <v>24</v>
      </c>
    </row>
    <row r="60" spans="1:12" x14ac:dyDescent="0.3">
      <c r="A60" t="s">
        <v>116</v>
      </c>
      <c r="B60" s="2">
        <v>44961</v>
      </c>
      <c r="C60" t="s">
        <v>38</v>
      </c>
      <c r="D60" t="s">
        <v>21</v>
      </c>
      <c r="E60" t="s">
        <v>28</v>
      </c>
      <c r="F60" t="s">
        <v>29</v>
      </c>
      <c r="G60">
        <v>5</v>
      </c>
      <c r="H60">
        <v>580.67999999999995</v>
      </c>
      <c r="I60">
        <v>0.1</v>
      </c>
      <c r="J60">
        <v>2613.0700000000002</v>
      </c>
      <c r="K60">
        <v>763.87</v>
      </c>
      <c r="L60" t="s">
        <v>39</v>
      </c>
    </row>
    <row r="61" spans="1:12" x14ac:dyDescent="0.3">
      <c r="A61" t="s">
        <v>117</v>
      </c>
      <c r="B61" s="2">
        <v>45132</v>
      </c>
      <c r="C61" t="s">
        <v>44</v>
      </c>
      <c r="D61" t="s">
        <v>21</v>
      </c>
      <c r="E61" t="s">
        <v>28</v>
      </c>
      <c r="F61" t="s">
        <v>61</v>
      </c>
      <c r="G61">
        <v>1</v>
      </c>
      <c r="H61">
        <v>1292.3599999999999</v>
      </c>
      <c r="I61">
        <v>0.1</v>
      </c>
      <c r="J61">
        <v>1163.1199999999999</v>
      </c>
      <c r="K61">
        <v>320.2</v>
      </c>
      <c r="L61" t="s">
        <v>34</v>
      </c>
    </row>
    <row r="62" spans="1:12" x14ac:dyDescent="0.3">
      <c r="A62" t="s">
        <v>118</v>
      </c>
      <c r="B62" s="2">
        <v>45007</v>
      </c>
      <c r="C62" t="s">
        <v>32</v>
      </c>
      <c r="D62" t="s">
        <v>45</v>
      </c>
      <c r="E62" t="s">
        <v>22</v>
      </c>
      <c r="F62" t="s">
        <v>55</v>
      </c>
      <c r="G62">
        <v>8</v>
      </c>
      <c r="H62">
        <v>1278.25</v>
      </c>
      <c r="I62">
        <v>0.05</v>
      </c>
      <c r="J62">
        <v>9714.7099999999991</v>
      </c>
      <c r="K62">
        <v>942.62</v>
      </c>
      <c r="L62" t="s">
        <v>24</v>
      </c>
    </row>
    <row r="63" spans="1:12" x14ac:dyDescent="0.3">
      <c r="A63" t="s">
        <v>119</v>
      </c>
      <c r="B63" s="2">
        <v>44976</v>
      </c>
      <c r="C63" t="s">
        <v>51</v>
      </c>
      <c r="D63" t="s">
        <v>48</v>
      </c>
      <c r="E63" t="s">
        <v>22</v>
      </c>
      <c r="F63" t="s">
        <v>23</v>
      </c>
      <c r="G63">
        <v>9</v>
      </c>
      <c r="H63">
        <v>593.9</v>
      </c>
      <c r="I63">
        <v>0.1</v>
      </c>
      <c r="J63">
        <v>4810.63</v>
      </c>
      <c r="K63">
        <v>1080.18</v>
      </c>
      <c r="L63" t="s">
        <v>39</v>
      </c>
    </row>
    <row r="64" spans="1:12" x14ac:dyDescent="0.3">
      <c r="A64" t="s">
        <v>120</v>
      </c>
      <c r="B64" s="2">
        <v>45286</v>
      </c>
      <c r="C64" t="s">
        <v>14</v>
      </c>
      <c r="D64" t="s">
        <v>21</v>
      </c>
      <c r="E64" t="s">
        <v>28</v>
      </c>
      <c r="F64" t="s">
        <v>67</v>
      </c>
      <c r="G64">
        <v>3</v>
      </c>
      <c r="H64">
        <v>1662.82</v>
      </c>
      <c r="I64">
        <v>0.05</v>
      </c>
      <c r="J64">
        <v>4739.04</v>
      </c>
      <c r="K64">
        <v>730.57</v>
      </c>
      <c r="L64" t="s">
        <v>39</v>
      </c>
    </row>
    <row r="65" spans="1:12" x14ac:dyDescent="0.3">
      <c r="A65" t="s">
        <v>121</v>
      </c>
      <c r="B65" s="2">
        <v>44928</v>
      </c>
      <c r="C65" t="s">
        <v>20</v>
      </c>
      <c r="D65" t="s">
        <v>45</v>
      </c>
      <c r="E65" t="s">
        <v>22</v>
      </c>
      <c r="F65" t="s">
        <v>55</v>
      </c>
      <c r="G65">
        <v>8</v>
      </c>
      <c r="H65">
        <v>1765.66</v>
      </c>
      <c r="I65">
        <v>0.1</v>
      </c>
      <c r="J65">
        <v>12712.73</v>
      </c>
      <c r="K65">
        <v>779.35</v>
      </c>
      <c r="L65" t="s">
        <v>39</v>
      </c>
    </row>
    <row r="66" spans="1:12" x14ac:dyDescent="0.3">
      <c r="A66" t="s">
        <v>122</v>
      </c>
      <c r="B66" s="2">
        <v>44980</v>
      </c>
      <c r="C66" t="s">
        <v>32</v>
      </c>
      <c r="D66" t="s">
        <v>21</v>
      </c>
      <c r="E66" t="s">
        <v>22</v>
      </c>
      <c r="F66" t="s">
        <v>23</v>
      </c>
      <c r="G66">
        <v>2</v>
      </c>
      <c r="H66">
        <v>1975.82</v>
      </c>
      <c r="I66">
        <v>0</v>
      </c>
      <c r="J66">
        <v>3951.65</v>
      </c>
      <c r="K66">
        <v>569.77</v>
      </c>
      <c r="L66" t="s">
        <v>39</v>
      </c>
    </row>
    <row r="67" spans="1:12" x14ac:dyDescent="0.3">
      <c r="A67" t="s">
        <v>123</v>
      </c>
      <c r="B67" s="2">
        <v>45032</v>
      </c>
      <c r="C67" t="s">
        <v>51</v>
      </c>
      <c r="D67" t="s">
        <v>48</v>
      </c>
      <c r="E67" t="s">
        <v>22</v>
      </c>
      <c r="F67" t="s">
        <v>52</v>
      </c>
      <c r="G67">
        <v>1</v>
      </c>
      <c r="H67">
        <v>1692.82</v>
      </c>
      <c r="I67">
        <v>0.05</v>
      </c>
      <c r="J67">
        <v>1608.18</v>
      </c>
      <c r="K67">
        <v>95.21</v>
      </c>
      <c r="L67" t="s">
        <v>34</v>
      </c>
    </row>
    <row r="68" spans="1:12" x14ac:dyDescent="0.3">
      <c r="A68" t="s">
        <v>124</v>
      </c>
      <c r="B68" s="2">
        <v>45186</v>
      </c>
      <c r="C68" t="s">
        <v>14</v>
      </c>
      <c r="D68" t="s">
        <v>21</v>
      </c>
      <c r="E68" t="s">
        <v>16</v>
      </c>
      <c r="F68" t="s">
        <v>46</v>
      </c>
      <c r="G68">
        <v>1</v>
      </c>
      <c r="H68">
        <v>1115.26</v>
      </c>
      <c r="I68">
        <v>0.2</v>
      </c>
      <c r="J68">
        <v>892.21</v>
      </c>
      <c r="K68">
        <v>266.91000000000003</v>
      </c>
      <c r="L68" t="s">
        <v>39</v>
      </c>
    </row>
    <row r="69" spans="1:12" x14ac:dyDescent="0.3">
      <c r="A69" t="s">
        <v>125</v>
      </c>
      <c r="B69" s="2">
        <v>45236</v>
      </c>
      <c r="C69" t="s">
        <v>106</v>
      </c>
      <c r="D69" t="s">
        <v>48</v>
      </c>
      <c r="E69" t="s">
        <v>28</v>
      </c>
      <c r="F69" t="s">
        <v>67</v>
      </c>
      <c r="G69">
        <v>3</v>
      </c>
      <c r="H69">
        <v>569.96</v>
      </c>
      <c r="I69">
        <v>0</v>
      </c>
      <c r="J69">
        <v>1709.88</v>
      </c>
      <c r="K69">
        <v>140.71</v>
      </c>
      <c r="L69" t="s">
        <v>39</v>
      </c>
    </row>
    <row r="70" spans="1:12" x14ac:dyDescent="0.3">
      <c r="A70" t="s">
        <v>126</v>
      </c>
      <c r="B70" s="2">
        <v>45117</v>
      </c>
      <c r="C70" t="s">
        <v>73</v>
      </c>
      <c r="D70" t="s">
        <v>21</v>
      </c>
      <c r="E70" t="s">
        <v>22</v>
      </c>
      <c r="F70" t="s">
        <v>23</v>
      </c>
      <c r="G70">
        <v>1</v>
      </c>
      <c r="H70">
        <v>1538.3</v>
      </c>
      <c r="I70">
        <v>0.05</v>
      </c>
      <c r="J70">
        <v>1461.38</v>
      </c>
      <c r="K70">
        <v>203.92</v>
      </c>
      <c r="L70" t="s">
        <v>24</v>
      </c>
    </row>
    <row r="71" spans="1:12" x14ac:dyDescent="0.3">
      <c r="A71" t="s">
        <v>127</v>
      </c>
      <c r="B71" s="2">
        <v>45144</v>
      </c>
      <c r="C71" t="s">
        <v>51</v>
      </c>
      <c r="D71" t="s">
        <v>15</v>
      </c>
      <c r="E71" t="s">
        <v>22</v>
      </c>
      <c r="F71" t="s">
        <v>55</v>
      </c>
      <c r="G71">
        <v>6</v>
      </c>
      <c r="H71">
        <v>1567.4</v>
      </c>
      <c r="I71">
        <v>0.1</v>
      </c>
      <c r="J71">
        <v>8463.99</v>
      </c>
      <c r="K71">
        <v>1074.45</v>
      </c>
      <c r="L71" t="s">
        <v>34</v>
      </c>
    </row>
    <row r="72" spans="1:12" x14ac:dyDescent="0.3">
      <c r="A72" t="s">
        <v>128</v>
      </c>
      <c r="B72" s="2">
        <v>44970</v>
      </c>
      <c r="C72" t="s">
        <v>38</v>
      </c>
      <c r="D72" t="s">
        <v>21</v>
      </c>
      <c r="E72" t="s">
        <v>28</v>
      </c>
      <c r="F72" t="s">
        <v>61</v>
      </c>
      <c r="G72">
        <v>9</v>
      </c>
      <c r="H72">
        <v>1220.92</v>
      </c>
      <c r="I72">
        <v>0.2</v>
      </c>
      <c r="J72">
        <v>8790.6</v>
      </c>
      <c r="K72">
        <v>1802.75</v>
      </c>
      <c r="L72" t="s">
        <v>18</v>
      </c>
    </row>
    <row r="73" spans="1:12" x14ac:dyDescent="0.3">
      <c r="A73" t="s">
        <v>129</v>
      </c>
      <c r="B73" s="2">
        <v>45088</v>
      </c>
      <c r="C73" t="s">
        <v>106</v>
      </c>
      <c r="D73" t="s">
        <v>21</v>
      </c>
      <c r="E73" t="s">
        <v>16</v>
      </c>
      <c r="F73" t="s">
        <v>46</v>
      </c>
      <c r="G73">
        <v>2</v>
      </c>
      <c r="H73">
        <v>766.12</v>
      </c>
      <c r="I73">
        <v>0.05</v>
      </c>
      <c r="J73">
        <v>1455.62</v>
      </c>
      <c r="K73">
        <v>304.45999999999998</v>
      </c>
      <c r="L73" t="s">
        <v>24</v>
      </c>
    </row>
    <row r="74" spans="1:12" x14ac:dyDescent="0.3">
      <c r="A74" t="s">
        <v>130</v>
      </c>
      <c r="B74" s="2">
        <v>45128</v>
      </c>
      <c r="C74" t="s">
        <v>32</v>
      </c>
      <c r="D74" t="s">
        <v>21</v>
      </c>
      <c r="E74" t="s">
        <v>28</v>
      </c>
      <c r="F74" t="s">
        <v>61</v>
      </c>
      <c r="G74">
        <v>1</v>
      </c>
      <c r="H74">
        <v>1588.94</v>
      </c>
      <c r="I74">
        <v>0.15</v>
      </c>
      <c r="J74">
        <v>1350.6</v>
      </c>
      <c r="K74">
        <v>168.14</v>
      </c>
      <c r="L74" t="s">
        <v>39</v>
      </c>
    </row>
    <row r="75" spans="1:12" x14ac:dyDescent="0.3">
      <c r="A75" t="s">
        <v>131</v>
      </c>
      <c r="B75" s="2">
        <v>45196</v>
      </c>
      <c r="C75" t="s">
        <v>41</v>
      </c>
      <c r="D75" t="s">
        <v>45</v>
      </c>
      <c r="E75" t="s">
        <v>28</v>
      </c>
      <c r="F75" t="s">
        <v>67</v>
      </c>
      <c r="G75">
        <v>4</v>
      </c>
      <c r="H75">
        <v>972.76</v>
      </c>
      <c r="I75">
        <v>0</v>
      </c>
      <c r="J75">
        <v>3891.04</v>
      </c>
      <c r="K75">
        <v>673.26</v>
      </c>
      <c r="L75" t="s">
        <v>39</v>
      </c>
    </row>
    <row r="76" spans="1:12" x14ac:dyDescent="0.3">
      <c r="A76" t="s">
        <v>132</v>
      </c>
      <c r="B76" s="2">
        <v>45277</v>
      </c>
      <c r="C76" t="s">
        <v>106</v>
      </c>
      <c r="D76" t="s">
        <v>21</v>
      </c>
      <c r="E76" t="s">
        <v>22</v>
      </c>
      <c r="F76" t="s">
        <v>55</v>
      </c>
      <c r="G76">
        <v>5</v>
      </c>
      <c r="H76">
        <v>760.09</v>
      </c>
      <c r="I76">
        <v>0.1</v>
      </c>
      <c r="J76">
        <v>3420.38</v>
      </c>
      <c r="K76">
        <v>666.68</v>
      </c>
      <c r="L76" t="s">
        <v>39</v>
      </c>
    </row>
    <row r="77" spans="1:12" x14ac:dyDescent="0.3">
      <c r="A77" t="s">
        <v>133</v>
      </c>
      <c r="B77" s="2">
        <v>45230</v>
      </c>
      <c r="C77" t="s">
        <v>73</v>
      </c>
      <c r="D77" t="s">
        <v>48</v>
      </c>
      <c r="E77" t="s">
        <v>16</v>
      </c>
      <c r="F77" t="s">
        <v>17</v>
      </c>
      <c r="G77">
        <v>6</v>
      </c>
      <c r="H77">
        <v>1425.57</v>
      </c>
      <c r="I77">
        <v>0.15</v>
      </c>
      <c r="J77">
        <v>7270.4</v>
      </c>
      <c r="K77">
        <v>694.11</v>
      </c>
      <c r="L77" t="s">
        <v>18</v>
      </c>
    </row>
    <row r="78" spans="1:12" x14ac:dyDescent="0.3">
      <c r="A78" t="s">
        <v>134</v>
      </c>
      <c r="B78" s="2">
        <v>45197</v>
      </c>
      <c r="C78" t="s">
        <v>14</v>
      </c>
      <c r="D78" t="s">
        <v>15</v>
      </c>
      <c r="E78" t="s">
        <v>16</v>
      </c>
      <c r="F78" t="s">
        <v>17</v>
      </c>
      <c r="G78">
        <v>2</v>
      </c>
      <c r="H78">
        <v>1243.68</v>
      </c>
      <c r="I78">
        <v>0.1</v>
      </c>
      <c r="J78">
        <v>2238.62</v>
      </c>
      <c r="K78">
        <v>134.80000000000001</v>
      </c>
      <c r="L78" t="s">
        <v>34</v>
      </c>
    </row>
    <row r="79" spans="1:12" x14ac:dyDescent="0.3">
      <c r="A79" t="s">
        <v>135</v>
      </c>
      <c r="B79" s="2">
        <v>45141</v>
      </c>
      <c r="C79" t="s">
        <v>32</v>
      </c>
      <c r="D79" t="s">
        <v>15</v>
      </c>
      <c r="E79" t="s">
        <v>22</v>
      </c>
      <c r="F79" t="s">
        <v>23</v>
      </c>
      <c r="G79">
        <v>6</v>
      </c>
      <c r="H79">
        <v>268.52999999999997</v>
      </c>
      <c r="I79">
        <v>0</v>
      </c>
      <c r="J79">
        <v>1611.21</v>
      </c>
      <c r="K79">
        <v>295.83</v>
      </c>
      <c r="L79" t="s">
        <v>24</v>
      </c>
    </row>
    <row r="80" spans="1:12" x14ac:dyDescent="0.3">
      <c r="A80" t="s">
        <v>136</v>
      </c>
      <c r="B80" s="2">
        <v>45178</v>
      </c>
      <c r="C80" t="s">
        <v>73</v>
      </c>
      <c r="D80" t="s">
        <v>15</v>
      </c>
      <c r="E80" t="s">
        <v>28</v>
      </c>
      <c r="F80" t="s">
        <v>61</v>
      </c>
      <c r="G80">
        <v>9</v>
      </c>
      <c r="H80">
        <v>275.35000000000002</v>
      </c>
      <c r="I80">
        <v>0</v>
      </c>
      <c r="J80">
        <v>2478.17</v>
      </c>
      <c r="K80">
        <v>550.02</v>
      </c>
      <c r="L80" t="s">
        <v>18</v>
      </c>
    </row>
    <row r="81" spans="1:12" x14ac:dyDescent="0.3">
      <c r="A81" t="s">
        <v>137</v>
      </c>
      <c r="B81" s="2">
        <v>45116</v>
      </c>
      <c r="C81" t="s">
        <v>106</v>
      </c>
      <c r="D81" t="s">
        <v>48</v>
      </c>
      <c r="E81" t="s">
        <v>16</v>
      </c>
      <c r="F81" t="s">
        <v>33</v>
      </c>
      <c r="G81">
        <v>1</v>
      </c>
      <c r="H81">
        <v>626.07000000000005</v>
      </c>
      <c r="I81">
        <v>0</v>
      </c>
      <c r="J81">
        <v>626.07000000000005</v>
      </c>
      <c r="K81">
        <v>44.53</v>
      </c>
      <c r="L81" t="s">
        <v>34</v>
      </c>
    </row>
    <row r="82" spans="1:12" x14ac:dyDescent="0.3">
      <c r="A82" t="s">
        <v>138</v>
      </c>
      <c r="B82" s="2">
        <v>45222</v>
      </c>
      <c r="C82" t="s">
        <v>73</v>
      </c>
      <c r="D82" t="s">
        <v>15</v>
      </c>
      <c r="E82" t="s">
        <v>16</v>
      </c>
      <c r="F82" t="s">
        <v>17</v>
      </c>
      <c r="G82">
        <v>8</v>
      </c>
      <c r="H82">
        <v>1020.59</v>
      </c>
      <c r="I82">
        <v>0.05</v>
      </c>
      <c r="J82">
        <v>7756.51</v>
      </c>
      <c r="K82">
        <v>1861.48</v>
      </c>
      <c r="L82" t="s">
        <v>39</v>
      </c>
    </row>
    <row r="83" spans="1:12" x14ac:dyDescent="0.3">
      <c r="A83" t="s">
        <v>139</v>
      </c>
      <c r="B83" s="2">
        <v>45139</v>
      </c>
      <c r="C83" t="s">
        <v>38</v>
      </c>
      <c r="D83" t="s">
        <v>15</v>
      </c>
      <c r="E83" t="s">
        <v>22</v>
      </c>
      <c r="F83" t="s">
        <v>55</v>
      </c>
      <c r="G83">
        <v>8</v>
      </c>
      <c r="H83">
        <v>352.92</v>
      </c>
      <c r="I83">
        <v>0.1</v>
      </c>
      <c r="J83">
        <v>2541.04</v>
      </c>
      <c r="K83">
        <v>695.74</v>
      </c>
      <c r="L83" t="s">
        <v>24</v>
      </c>
    </row>
    <row r="84" spans="1:12" x14ac:dyDescent="0.3">
      <c r="A84" t="s">
        <v>140</v>
      </c>
      <c r="B84" s="2">
        <v>45134</v>
      </c>
      <c r="C84" t="s">
        <v>44</v>
      </c>
      <c r="D84" t="s">
        <v>48</v>
      </c>
      <c r="E84" t="s">
        <v>16</v>
      </c>
      <c r="F84" t="s">
        <v>17</v>
      </c>
      <c r="G84">
        <v>9</v>
      </c>
      <c r="H84">
        <v>1501.07</v>
      </c>
      <c r="I84">
        <v>0.15</v>
      </c>
      <c r="J84">
        <v>11483.18</v>
      </c>
      <c r="K84">
        <v>631.78</v>
      </c>
      <c r="L84" t="s">
        <v>18</v>
      </c>
    </row>
    <row r="85" spans="1:12" x14ac:dyDescent="0.3">
      <c r="A85" t="s">
        <v>141</v>
      </c>
      <c r="B85" s="2">
        <v>45163</v>
      </c>
      <c r="C85" t="s">
        <v>32</v>
      </c>
      <c r="D85" t="s">
        <v>21</v>
      </c>
      <c r="E85" t="s">
        <v>22</v>
      </c>
      <c r="F85" t="s">
        <v>55</v>
      </c>
      <c r="G85">
        <v>9</v>
      </c>
      <c r="H85">
        <v>1792</v>
      </c>
      <c r="I85">
        <v>0.15</v>
      </c>
      <c r="J85">
        <v>13708.81</v>
      </c>
      <c r="K85">
        <v>2309.83</v>
      </c>
      <c r="L85" t="s">
        <v>39</v>
      </c>
    </row>
    <row r="86" spans="1:12" x14ac:dyDescent="0.3">
      <c r="A86" t="s">
        <v>142</v>
      </c>
      <c r="B86" s="2">
        <v>45264</v>
      </c>
      <c r="C86" t="s">
        <v>73</v>
      </c>
      <c r="D86" t="s">
        <v>48</v>
      </c>
      <c r="E86" t="s">
        <v>28</v>
      </c>
      <c r="F86" t="s">
        <v>61</v>
      </c>
      <c r="G86">
        <v>4</v>
      </c>
      <c r="H86">
        <v>1120.5</v>
      </c>
      <c r="I86">
        <v>0.05</v>
      </c>
      <c r="J86">
        <v>4257.91</v>
      </c>
      <c r="K86">
        <v>806.6</v>
      </c>
      <c r="L86" t="s">
        <v>34</v>
      </c>
    </row>
    <row r="87" spans="1:12" x14ac:dyDescent="0.3">
      <c r="A87" t="s">
        <v>143</v>
      </c>
      <c r="B87" s="2">
        <v>44979</v>
      </c>
      <c r="C87" t="s">
        <v>38</v>
      </c>
      <c r="D87" t="s">
        <v>21</v>
      </c>
      <c r="E87" t="s">
        <v>16</v>
      </c>
      <c r="F87" t="s">
        <v>46</v>
      </c>
      <c r="G87">
        <v>9</v>
      </c>
      <c r="H87">
        <v>741.15</v>
      </c>
      <c r="I87">
        <v>0.15</v>
      </c>
      <c r="J87">
        <v>5669.79</v>
      </c>
      <c r="K87">
        <v>1199.04</v>
      </c>
      <c r="L87" t="s">
        <v>34</v>
      </c>
    </row>
    <row r="88" spans="1:12" x14ac:dyDescent="0.3">
      <c r="A88" t="s">
        <v>144</v>
      </c>
      <c r="B88" s="2">
        <v>45206</v>
      </c>
      <c r="C88" t="s">
        <v>14</v>
      </c>
      <c r="D88" t="s">
        <v>15</v>
      </c>
      <c r="E88" t="s">
        <v>16</v>
      </c>
      <c r="F88" t="s">
        <v>33</v>
      </c>
      <c r="G88">
        <v>6</v>
      </c>
      <c r="H88">
        <v>1250.97</v>
      </c>
      <c r="I88">
        <v>0</v>
      </c>
      <c r="J88">
        <v>7505.83</v>
      </c>
      <c r="K88">
        <v>389.43</v>
      </c>
      <c r="L88" t="s">
        <v>24</v>
      </c>
    </row>
    <row r="89" spans="1:12" x14ac:dyDescent="0.3">
      <c r="A89" t="s">
        <v>145</v>
      </c>
      <c r="B89" s="2">
        <v>45143</v>
      </c>
      <c r="C89" t="s">
        <v>73</v>
      </c>
      <c r="D89" t="s">
        <v>48</v>
      </c>
      <c r="E89" t="s">
        <v>16</v>
      </c>
      <c r="F89" t="s">
        <v>46</v>
      </c>
      <c r="G89">
        <v>8</v>
      </c>
      <c r="H89">
        <v>1803.85</v>
      </c>
      <c r="I89">
        <v>0.1</v>
      </c>
      <c r="J89">
        <v>12987.75</v>
      </c>
      <c r="K89">
        <v>2352.44</v>
      </c>
      <c r="L89" t="s">
        <v>34</v>
      </c>
    </row>
    <row r="90" spans="1:12" x14ac:dyDescent="0.3">
      <c r="A90" t="s">
        <v>146</v>
      </c>
      <c r="B90" s="2">
        <v>45178</v>
      </c>
      <c r="C90" t="s">
        <v>60</v>
      </c>
      <c r="D90" t="s">
        <v>15</v>
      </c>
      <c r="E90" t="s">
        <v>16</v>
      </c>
      <c r="F90" t="s">
        <v>46</v>
      </c>
      <c r="G90">
        <v>2</v>
      </c>
      <c r="H90">
        <v>1194.4000000000001</v>
      </c>
      <c r="I90">
        <v>0.1</v>
      </c>
      <c r="J90">
        <v>2149.91</v>
      </c>
      <c r="K90">
        <v>572.69000000000005</v>
      </c>
      <c r="L90" t="s">
        <v>39</v>
      </c>
    </row>
    <row r="91" spans="1:12" x14ac:dyDescent="0.3">
      <c r="A91" t="s">
        <v>147</v>
      </c>
      <c r="B91" s="2">
        <v>45114</v>
      </c>
      <c r="C91" t="s">
        <v>73</v>
      </c>
      <c r="D91" t="s">
        <v>15</v>
      </c>
      <c r="E91" t="s">
        <v>22</v>
      </c>
      <c r="F91" t="s">
        <v>55</v>
      </c>
      <c r="G91">
        <v>3</v>
      </c>
      <c r="H91">
        <v>1659.64</v>
      </c>
      <c r="I91">
        <v>0.05</v>
      </c>
      <c r="J91">
        <v>4729.96</v>
      </c>
      <c r="K91">
        <v>894.87</v>
      </c>
      <c r="L91" t="s">
        <v>18</v>
      </c>
    </row>
    <row r="92" spans="1:12" x14ac:dyDescent="0.3">
      <c r="A92" t="s">
        <v>148</v>
      </c>
      <c r="B92" s="2">
        <v>44967</v>
      </c>
      <c r="C92" t="s">
        <v>51</v>
      </c>
      <c r="D92" t="s">
        <v>45</v>
      </c>
      <c r="E92" t="s">
        <v>28</v>
      </c>
      <c r="F92" t="s">
        <v>67</v>
      </c>
      <c r="G92">
        <v>6</v>
      </c>
      <c r="H92">
        <v>1939.19</v>
      </c>
      <c r="I92">
        <v>0.15</v>
      </c>
      <c r="J92">
        <v>9889.86</v>
      </c>
      <c r="K92">
        <v>1546.37</v>
      </c>
      <c r="L92" t="s">
        <v>39</v>
      </c>
    </row>
    <row r="93" spans="1:12" x14ac:dyDescent="0.3">
      <c r="A93" t="s">
        <v>149</v>
      </c>
      <c r="B93" s="2">
        <v>45083</v>
      </c>
      <c r="C93" t="s">
        <v>106</v>
      </c>
      <c r="D93" t="s">
        <v>48</v>
      </c>
      <c r="E93" t="s">
        <v>16</v>
      </c>
      <c r="F93" t="s">
        <v>33</v>
      </c>
      <c r="G93">
        <v>6</v>
      </c>
      <c r="H93">
        <v>1204.3499999999999</v>
      </c>
      <c r="I93">
        <v>0.1</v>
      </c>
      <c r="J93">
        <v>6503.5</v>
      </c>
      <c r="K93">
        <v>1840.51</v>
      </c>
      <c r="L93" t="s">
        <v>24</v>
      </c>
    </row>
    <row r="94" spans="1:12" x14ac:dyDescent="0.3">
      <c r="A94" t="s">
        <v>150</v>
      </c>
      <c r="B94" s="2">
        <v>44941</v>
      </c>
      <c r="C94" t="s">
        <v>73</v>
      </c>
      <c r="D94" t="s">
        <v>15</v>
      </c>
      <c r="E94" t="s">
        <v>22</v>
      </c>
      <c r="F94" t="s">
        <v>55</v>
      </c>
      <c r="G94">
        <v>5</v>
      </c>
      <c r="H94">
        <v>220.41</v>
      </c>
      <c r="I94">
        <v>0.15</v>
      </c>
      <c r="J94">
        <v>936.75</v>
      </c>
      <c r="K94">
        <v>94.08</v>
      </c>
      <c r="L94" t="s">
        <v>34</v>
      </c>
    </row>
    <row r="95" spans="1:12" x14ac:dyDescent="0.3">
      <c r="A95" t="s">
        <v>151</v>
      </c>
      <c r="B95" s="2">
        <v>45227</v>
      </c>
      <c r="C95" t="s">
        <v>73</v>
      </c>
      <c r="D95" t="s">
        <v>15</v>
      </c>
      <c r="E95" t="s">
        <v>28</v>
      </c>
      <c r="F95" t="s">
        <v>29</v>
      </c>
      <c r="G95">
        <v>5</v>
      </c>
      <c r="H95">
        <v>105.15</v>
      </c>
      <c r="I95">
        <v>0</v>
      </c>
      <c r="J95">
        <v>525.75</v>
      </c>
      <c r="K95">
        <v>104.58</v>
      </c>
      <c r="L95" t="s">
        <v>18</v>
      </c>
    </row>
    <row r="96" spans="1:12" x14ac:dyDescent="0.3">
      <c r="A96" t="s">
        <v>152</v>
      </c>
      <c r="B96" s="2">
        <v>44991</v>
      </c>
      <c r="C96" t="s">
        <v>14</v>
      </c>
      <c r="D96" t="s">
        <v>45</v>
      </c>
      <c r="E96" t="s">
        <v>16</v>
      </c>
      <c r="F96" t="s">
        <v>46</v>
      </c>
      <c r="G96">
        <v>1</v>
      </c>
      <c r="H96">
        <v>1716.38</v>
      </c>
      <c r="I96">
        <v>0.15</v>
      </c>
      <c r="J96">
        <v>1458.92</v>
      </c>
      <c r="K96">
        <v>424.92</v>
      </c>
      <c r="L96" t="s">
        <v>18</v>
      </c>
    </row>
    <row r="97" spans="1:12" x14ac:dyDescent="0.3">
      <c r="A97" t="s">
        <v>153</v>
      </c>
      <c r="B97" s="2">
        <v>45271</v>
      </c>
      <c r="C97" t="s">
        <v>73</v>
      </c>
      <c r="D97" t="s">
        <v>21</v>
      </c>
      <c r="E97" t="s">
        <v>28</v>
      </c>
      <c r="F97" t="s">
        <v>61</v>
      </c>
      <c r="G97">
        <v>3</v>
      </c>
      <c r="H97">
        <v>226.34</v>
      </c>
      <c r="I97">
        <v>0.15</v>
      </c>
      <c r="J97">
        <v>577.16999999999996</v>
      </c>
      <c r="K97">
        <v>150.33000000000001</v>
      </c>
      <c r="L97" t="s">
        <v>39</v>
      </c>
    </row>
    <row r="98" spans="1:12" x14ac:dyDescent="0.3">
      <c r="A98" t="s">
        <v>154</v>
      </c>
      <c r="B98" s="2">
        <v>45253</v>
      </c>
      <c r="C98" t="s">
        <v>32</v>
      </c>
      <c r="D98" t="s">
        <v>15</v>
      </c>
      <c r="E98" t="s">
        <v>28</v>
      </c>
      <c r="F98" t="s">
        <v>61</v>
      </c>
      <c r="G98">
        <v>3</v>
      </c>
      <c r="H98">
        <v>412.11</v>
      </c>
      <c r="I98">
        <v>0.2</v>
      </c>
      <c r="J98">
        <v>989.05</v>
      </c>
      <c r="K98">
        <v>107.73</v>
      </c>
      <c r="L98" t="s">
        <v>34</v>
      </c>
    </row>
    <row r="99" spans="1:12" x14ac:dyDescent="0.3">
      <c r="A99" t="s">
        <v>155</v>
      </c>
      <c r="B99" s="2">
        <v>44935</v>
      </c>
      <c r="C99" t="s">
        <v>51</v>
      </c>
      <c r="D99" t="s">
        <v>21</v>
      </c>
      <c r="E99" t="s">
        <v>28</v>
      </c>
      <c r="F99" t="s">
        <v>67</v>
      </c>
      <c r="G99">
        <v>9</v>
      </c>
      <c r="H99">
        <v>1397.67</v>
      </c>
      <c r="I99">
        <v>0.1</v>
      </c>
      <c r="J99">
        <v>11321.09</v>
      </c>
      <c r="K99">
        <v>2332.4299999999998</v>
      </c>
      <c r="L99" t="s">
        <v>18</v>
      </c>
    </row>
    <row r="100" spans="1:12" x14ac:dyDescent="0.3">
      <c r="A100" t="s">
        <v>156</v>
      </c>
      <c r="B100" s="2">
        <v>45270</v>
      </c>
      <c r="C100" t="s">
        <v>73</v>
      </c>
      <c r="D100" t="s">
        <v>45</v>
      </c>
      <c r="E100" t="s">
        <v>16</v>
      </c>
      <c r="F100" t="s">
        <v>33</v>
      </c>
      <c r="G100">
        <v>9</v>
      </c>
      <c r="H100">
        <v>775.19</v>
      </c>
      <c r="I100">
        <v>0.05</v>
      </c>
      <c r="J100">
        <v>6627.86</v>
      </c>
      <c r="K100">
        <v>1232.04</v>
      </c>
      <c r="L100" t="s">
        <v>18</v>
      </c>
    </row>
    <row r="101" spans="1:12" x14ac:dyDescent="0.3">
      <c r="A101" t="s">
        <v>157</v>
      </c>
      <c r="B101" s="2">
        <v>45055</v>
      </c>
      <c r="C101" t="s">
        <v>41</v>
      </c>
      <c r="D101" t="s">
        <v>21</v>
      </c>
      <c r="E101" t="s">
        <v>16</v>
      </c>
      <c r="F101" t="s">
        <v>17</v>
      </c>
      <c r="G101">
        <v>6</v>
      </c>
      <c r="H101">
        <v>1885.68</v>
      </c>
      <c r="I101">
        <v>0.1</v>
      </c>
      <c r="J101">
        <v>10182.68</v>
      </c>
      <c r="K101">
        <v>1361.69</v>
      </c>
      <c r="L101" t="s">
        <v>18</v>
      </c>
    </row>
  </sheetData>
  <mergeCells count="2">
    <mergeCell ref="S1:T1"/>
    <mergeCell ref="M17:N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VLOOKUP_INDEX &amp;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Das</dc:creator>
  <cp:lastModifiedBy>Payal Das</cp:lastModifiedBy>
  <dcterms:created xsi:type="dcterms:W3CDTF">2025-12-08T17:35:24Z</dcterms:created>
  <dcterms:modified xsi:type="dcterms:W3CDTF">2025-12-08T17:36:37Z</dcterms:modified>
</cp:coreProperties>
</file>